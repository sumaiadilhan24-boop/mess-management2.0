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ery &amp; Status" sheetId="1" r:id="rId5"/>
    <sheet state="visible" name="Meal Count" sheetId="2" r:id="rId6"/>
    <sheet state="hidden" name="Deposit" sheetId="3" r:id="rId7"/>
    <sheet state="hidden" name="Others Costing" sheetId="4" r:id="rId8"/>
    <sheet state="visible" name="Meal Costing" sheetId="5" r:id="rId9"/>
    <sheet state="visible" name="Wifi,Gas,Electricity" sheetId="6" r:id="rId10"/>
    <sheet state="visible" name="Monthly Global Bazar" sheetId="7" r:id="rId11"/>
    <sheet state="visible" name="Notes" sheetId="8" r:id="rId12"/>
    <sheet state="hidden" name="Summery" sheetId="9" r:id="rId13"/>
  </sheets>
  <definedNames/>
  <calcPr/>
</workbook>
</file>

<file path=xl/sharedStrings.xml><?xml version="1.0" encoding="utf-8"?>
<sst xmlns="http://schemas.openxmlformats.org/spreadsheetml/2006/main" count="145" uniqueCount="66">
  <si>
    <t>Name</t>
  </si>
  <si>
    <t>Meal Count</t>
  </si>
  <si>
    <t>Meal Rate</t>
  </si>
  <si>
    <t>Total Meal Cost</t>
  </si>
  <si>
    <t>Wifi,Gas,Electricity</t>
  </si>
  <si>
    <t>Member Spending</t>
  </si>
  <si>
    <t>Your balance</t>
  </si>
  <si>
    <t>Status</t>
  </si>
  <si>
    <t>Total Member</t>
  </si>
  <si>
    <t>Shariful</t>
  </si>
  <si>
    <t>Ashfatul</t>
  </si>
  <si>
    <t>Mostakim</t>
  </si>
  <si>
    <t>Fahim</t>
  </si>
  <si>
    <t>Sadman</t>
  </si>
  <si>
    <t>Hamim</t>
  </si>
  <si>
    <t>TOTAL</t>
  </si>
  <si>
    <t>----</t>
  </si>
  <si>
    <t>Date</t>
  </si>
  <si>
    <t>Daily Meal Count</t>
  </si>
  <si>
    <t xml:space="preserve"> </t>
  </si>
  <si>
    <t>;[[[[[[[[[[[['</t>
  </si>
  <si>
    <t>Shoriful</t>
  </si>
  <si>
    <t>Shahjalal</t>
  </si>
  <si>
    <t>Mohshin</t>
  </si>
  <si>
    <t>Abrar</t>
  </si>
  <si>
    <t>Rafsaan</t>
  </si>
  <si>
    <t>Shawon</t>
  </si>
  <si>
    <t>Summery</t>
  </si>
  <si>
    <t>Total Deposit</t>
  </si>
  <si>
    <t>Total Other Cost</t>
  </si>
  <si>
    <t>Balance</t>
  </si>
  <si>
    <t>Bazar By</t>
  </si>
  <si>
    <t>Cost type</t>
  </si>
  <si>
    <t>Cost</t>
  </si>
  <si>
    <t xml:space="preserve">List </t>
  </si>
  <si>
    <t>fish, morggi, alo, tamato</t>
  </si>
  <si>
    <t>dal</t>
  </si>
  <si>
    <t>chicken,fish,oil</t>
  </si>
  <si>
    <t>Cost Of Each Person</t>
  </si>
  <si>
    <t xml:space="preserve">Dal + Dim </t>
  </si>
  <si>
    <t>vegetables</t>
  </si>
  <si>
    <t xml:space="preserve">vegetables </t>
  </si>
  <si>
    <t xml:space="preserve">tarmaric </t>
  </si>
  <si>
    <t>kacha morich, murgi, sobji, dim</t>
  </si>
  <si>
    <t>Fish and Chiken</t>
  </si>
  <si>
    <t>Tel</t>
  </si>
  <si>
    <t>Monthly Bazar</t>
  </si>
  <si>
    <t>Cost For</t>
  </si>
  <si>
    <t>Electricity Bill</t>
  </si>
  <si>
    <t>Wifi Bill</t>
  </si>
  <si>
    <t>13/05/2026</t>
  </si>
  <si>
    <t>19/05/2026</t>
  </si>
  <si>
    <t>gas bill</t>
  </si>
  <si>
    <t>31/05/26</t>
  </si>
  <si>
    <t>current bill</t>
  </si>
  <si>
    <t>বটি,ঝাড়ু কিনার জন্য (খালাকে দেওয়া হয়েছে )</t>
  </si>
  <si>
    <t>khala bill is not included</t>
  </si>
  <si>
    <t>other costing is devided equaly among members</t>
  </si>
  <si>
    <t>monthly global bazar is for adding bazar for multiple member at the same date</t>
  </si>
  <si>
    <t>meal costing for daily regular bazar</t>
  </si>
  <si>
    <t>summery shows all at a glance</t>
  </si>
  <si>
    <t>everything updated autometically</t>
  </si>
  <si>
    <t>do not change anything that you are not suppose to change</t>
  </si>
  <si>
    <t xml:space="preserve">at month end if you have to pay then pay to the person(s) who will get that amount </t>
  </si>
  <si>
    <t>Summery May 2024</t>
  </si>
  <si>
    <t>Current Balence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</si>
</sst>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m/dd/yy"/>
  </numFmts>
  <fonts count="18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3.0"/>
      <color rgb="FFFFFFFF"/>
      <name val="Arial"/>
    </font>
    <font>
      <sz val="14.0"/>
      <color theme="1"/>
      <name val="Arial"/>
      <scheme val="minor"/>
    </font>
    <font>
      <sz val="13.0"/>
      <color theme="1"/>
      <name val="Arial"/>
    </font>
    <font>
      <sz val="14.0"/>
      <color rgb="FFCC4125"/>
      <name val="Arial"/>
      <scheme val="minor"/>
    </font>
    <font>
      <sz val="13.0"/>
      <color rgb="FFFFFFFF"/>
      <name val="Playfair Display"/>
    </font>
    <font>
      <sz val="14.0"/>
      <color rgb="FFFFFFFF"/>
      <name val="Arial"/>
      <scheme val="minor"/>
    </font>
    <font>
      <sz val="14.0"/>
      <color rgb="FFFFFFFF"/>
      <name val="Arial"/>
    </font>
    <font>
      <sz val="13.0"/>
      <color rgb="FFFFFFFF"/>
      <name val="Arial"/>
      <scheme val="minor"/>
    </font>
    <font>
      <sz val="14.0"/>
      <color rgb="FFFFFFFF"/>
      <name val="Playfair Display"/>
    </font>
    <font>
      <sz val="15.0"/>
      <color rgb="FFFFFFFF"/>
      <name val="Arial"/>
      <scheme val="minor"/>
    </font>
    <font>
      <sz val="14.0"/>
      <color rgb="FF000000"/>
      <name val="Arial"/>
    </font>
    <font>
      <sz val="14.0"/>
      <color rgb="FFFF0000"/>
      <name val="Arial"/>
      <scheme val="minor"/>
    </font>
    <font>
      <sz val="13.0"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38761D"/>
        <bgColor rgb="FF38761D"/>
      </patternFill>
    </fill>
    <fill>
      <patternFill patternType="solid">
        <fgColor rgb="FF1C4587"/>
        <bgColor rgb="FF1C4587"/>
      </patternFill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FF9900"/>
        <bgColor rgb="FFFF9900"/>
      </patternFill>
    </fill>
    <fill>
      <patternFill patternType="solid">
        <fgColor rgb="FF1155CC"/>
        <bgColor rgb="FF1155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4" fontId="1" numFmtId="0" xfId="0" applyAlignment="1" applyFill="1" applyFont="1">
      <alignment horizontal="center" readingOrder="0"/>
    </xf>
    <xf borderId="0" fillId="4" fontId="1" numFmtId="0" xfId="0" applyAlignment="1" applyFont="1">
      <alignment horizontal="center"/>
    </xf>
    <xf borderId="0" fillId="4" fontId="1" numFmtId="2" xfId="0" applyAlignment="1" applyFont="1" applyNumberFormat="1">
      <alignment horizontal="center"/>
    </xf>
    <xf borderId="0" fillId="4" fontId="1" numFmtId="2" xfId="0" applyAlignment="1" applyFont="1" applyNumberFormat="1">
      <alignment horizontal="center" readingOrder="0"/>
    </xf>
    <xf borderId="0" fillId="5" fontId="1" numFmtId="0" xfId="0" applyAlignment="1" applyFill="1" applyFont="1">
      <alignment horizontal="center" readingOrder="0"/>
    </xf>
    <xf borderId="0" fillId="0" fontId="1" numFmtId="0" xfId="0" applyAlignment="1" applyFont="1">
      <alignment horizontal="left" readingOrder="0"/>
    </xf>
    <xf borderId="0" fillId="3" fontId="1" numFmtId="0" xfId="0" applyAlignment="1" applyFont="1">
      <alignment horizontal="center"/>
    </xf>
    <xf borderId="0" fillId="3" fontId="1" numFmtId="2" xfId="0" applyAlignment="1" applyFont="1" applyNumberFormat="1">
      <alignment horizontal="center"/>
    </xf>
    <xf borderId="0" fillId="3" fontId="1" numFmtId="2" xfId="0" applyAlignment="1" applyFont="1" applyNumberForma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1" numFmtId="0" xfId="0" applyAlignment="1" applyFont="1">
      <alignment horizontal="center"/>
    </xf>
    <xf borderId="0" fillId="6" fontId="1" numFmtId="2" xfId="0" applyAlignment="1" applyFont="1" applyNumberFormat="1">
      <alignment horizontal="center"/>
    </xf>
    <xf borderId="0" fillId="6" fontId="1" numFmtId="2" xfId="0" applyAlignment="1" applyFont="1" applyNumberForma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7" fontId="1" numFmtId="0" xfId="0" applyAlignment="1" applyFont="1">
      <alignment horizontal="center"/>
    </xf>
    <xf borderId="0" fillId="7" fontId="1" numFmtId="2" xfId="0" applyAlignment="1" applyFont="1" applyNumberFormat="1">
      <alignment horizontal="center"/>
    </xf>
    <xf borderId="0" fillId="7" fontId="1" numFmtId="2" xfId="0" applyAlignment="1" applyFont="1" applyNumberFormat="1">
      <alignment horizontal="center" readingOrder="0"/>
    </xf>
    <xf borderId="0" fillId="0" fontId="1" numFmtId="2" xfId="0" applyAlignment="1" applyFont="1" applyNumberFormat="1">
      <alignment horizontal="center"/>
    </xf>
    <xf borderId="0" fillId="0" fontId="1" numFmtId="2" xfId="0" applyAlignment="1" applyFont="1" applyNumberFormat="1">
      <alignment horizontal="center" readingOrder="0"/>
    </xf>
    <xf borderId="0" fillId="5" fontId="1" numFmtId="0" xfId="0" applyAlignment="1" applyFont="1">
      <alignment horizontal="center"/>
    </xf>
    <xf borderId="0" fillId="5" fontId="1" numFmtId="2" xfId="0" applyAlignment="1" applyFont="1" applyNumberFormat="1">
      <alignment horizontal="center"/>
    </xf>
    <xf borderId="0" fillId="8" fontId="2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/>
    </xf>
    <xf borderId="0" fillId="6" fontId="3" numFmtId="0" xfId="0" applyAlignment="1" applyFont="1">
      <alignment horizontal="center" readingOrder="0"/>
    </xf>
    <xf borderId="0" fillId="6" fontId="3" numFmtId="0" xfId="0" applyAlignment="1" applyFont="1">
      <alignment horizontal="center"/>
    </xf>
    <xf borderId="0" fillId="7" fontId="3" numFmtId="0" xfId="0" applyAlignment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0" fillId="10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4" fontId="3" numFmtId="0" xfId="0" applyAlignment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12" fontId="3" numFmtId="0" xfId="0" applyAlignment="1" applyFont="1">
      <alignment horizontal="center" readingOrder="0"/>
    </xf>
    <xf borderId="0" fillId="13" fontId="1" numFmtId="0" xfId="0" applyAlignment="1" applyFill="1" applyFont="1">
      <alignment horizontal="center" readingOrder="0"/>
    </xf>
    <xf borderId="0" fillId="13" fontId="3" numFmtId="0" xfId="0" applyAlignment="1" applyFont="1">
      <alignment horizontal="center" readingOrder="0"/>
    </xf>
    <xf borderId="0" fillId="14" fontId="4" numFmtId="0" xfId="0" applyAlignment="1" applyFill="1" applyFont="1">
      <alignment horizontal="center" readingOrder="0"/>
    </xf>
    <xf borderId="0" fillId="14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1" fillId="15" fontId="5" numFmtId="0" xfId="0" applyAlignment="1" applyBorder="1" applyFill="1" applyFont="1">
      <alignment horizontal="center" readingOrder="0" vertical="bottom"/>
    </xf>
    <xf borderId="0" fillId="0" fontId="6" numFmtId="0" xfId="0" applyFont="1"/>
    <xf borderId="1" fillId="16" fontId="5" numFmtId="0" xfId="0" applyAlignment="1" applyBorder="1" applyFill="1" applyFont="1">
      <alignment horizontal="center" readingOrder="0" vertical="bottom"/>
    </xf>
    <xf borderId="1" fillId="12" fontId="7" numFmtId="0" xfId="0" applyAlignment="1" applyBorder="1" applyFont="1">
      <alignment horizontal="center" readingOrder="0" vertical="bottom"/>
    </xf>
    <xf borderId="1" fillId="12" fontId="7" numFmtId="0" xfId="0" applyAlignment="1" applyBorder="1" applyFont="1">
      <alignment horizontal="center" vertical="bottom"/>
    </xf>
    <xf borderId="0" fillId="0" fontId="6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1" fillId="16" fontId="9" numFmtId="0" xfId="0" applyAlignment="1" applyBorder="1" applyFont="1">
      <alignment horizontal="center" readingOrder="0" vertical="bottom"/>
    </xf>
    <xf borderId="1" fillId="17" fontId="5" numFmtId="0" xfId="0" applyAlignment="1" applyBorder="1" applyFill="1" applyFont="1">
      <alignment horizontal="center" readingOrder="0" vertical="bottom"/>
    </xf>
    <xf borderId="0" fillId="14" fontId="10" numFmtId="0" xfId="0" applyAlignment="1" applyFont="1">
      <alignment horizontal="center"/>
    </xf>
    <xf borderId="1" fillId="15" fontId="11" numFmtId="0" xfId="0" applyAlignment="1" applyBorder="1" applyFont="1">
      <alignment horizontal="center" readingOrder="0" vertical="bottom"/>
    </xf>
    <xf borderId="0" fillId="15" fontId="10" numFmtId="0" xfId="0" applyAlignment="1" applyFont="1">
      <alignment horizontal="center" readingOrder="0"/>
    </xf>
    <xf borderId="0" fillId="18" fontId="12" numFmtId="0" xfId="0" applyAlignment="1" applyFill="1" applyFont="1">
      <alignment readingOrder="0"/>
    </xf>
    <xf borderId="0" fillId="6" fontId="6" numFmtId="0" xfId="0" applyAlignment="1" applyFont="1">
      <alignment horizontal="center" readingOrder="0"/>
    </xf>
    <xf borderId="0" fillId="19" fontId="12" numFmtId="0" xfId="0" applyAlignment="1" applyFill="1" applyFont="1">
      <alignment horizontal="center" readingOrder="0"/>
    </xf>
    <xf borderId="0" fillId="6" fontId="6" numFmtId="0" xfId="0" applyAlignment="1" applyFont="1">
      <alignment horizontal="center"/>
    </xf>
    <xf borderId="1" fillId="16" fontId="13" numFmtId="0" xfId="0" applyAlignment="1" applyBorder="1" applyFont="1">
      <alignment horizontal="center" readingOrder="0" vertical="bottom"/>
    </xf>
    <xf borderId="0" fillId="0" fontId="14" numFmtId="0" xfId="0" applyAlignment="1" applyFont="1">
      <alignment horizontal="center"/>
    </xf>
    <xf borderId="0" fillId="6" fontId="15" numFmtId="0" xfId="0" applyAlignment="1" applyFont="1">
      <alignment horizontal="center" readingOrder="0"/>
    </xf>
    <xf borderId="0" fillId="17" fontId="10" numFmtId="0" xfId="0" applyAlignment="1" applyFont="1">
      <alignment horizontal="center" readingOrder="0"/>
    </xf>
    <xf borderId="0" fillId="15" fontId="10" numFmtId="0" xfId="0" applyAlignment="1" applyFont="1">
      <alignment horizontal="left" readingOrder="0"/>
    </xf>
    <xf borderId="1" fillId="16" fontId="5" numFmtId="164" xfId="0" applyAlignment="1" applyBorder="1" applyFont="1" applyNumberFormat="1">
      <alignment horizontal="center" readingOrder="0" vertical="bottom"/>
    </xf>
    <xf borderId="0" fillId="6" fontId="6" numFmtId="0" xfId="0" applyAlignment="1" applyFont="1">
      <alignment horizontal="left" readingOrder="0"/>
    </xf>
    <xf borderId="1" fillId="16" fontId="5" numFmtId="165" xfId="0" applyAlignment="1" applyBorder="1" applyFont="1" applyNumberFormat="1">
      <alignment horizontal="center" readingOrder="0" vertical="bottom"/>
    </xf>
    <xf borderId="0" fillId="6" fontId="6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6" numFmtId="0" xfId="0" applyAlignment="1" applyFont="1">
      <alignment horizontal="center" readingOrder="0"/>
    </xf>
    <xf borderId="0" fillId="0" fontId="3" numFmtId="2" xfId="0" applyFont="1" applyNumberFormat="1"/>
    <xf borderId="0" fillId="0" fontId="16" numFmtId="0" xfId="0" applyAlignment="1" applyFont="1">
      <alignment horizontal="center" readingOrder="0"/>
    </xf>
    <xf borderId="0" fillId="7" fontId="17" numFmtId="0" xfId="0" applyAlignment="1" applyFont="1">
      <alignment readingOrder="0"/>
    </xf>
    <xf borderId="0" fillId="0" fontId="3" numFmtId="0" xfId="0" applyAlignment="1" applyFont="1">
      <alignment readingOrder="0"/>
    </xf>
    <xf borderId="0" fillId="20" fontId="10" numFmtId="0" xfId="0" applyAlignment="1" applyFill="1" applyFont="1">
      <alignment readingOrder="0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6"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>
        <color rgb="FFFFFFFF"/>
      </font>
      <fill>
        <patternFill patternType="solid">
          <fgColor rgb="FF1155CC"/>
          <bgColor rgb="FF1155CC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0000FF"/>
          <bgColor rgb="FF0000FF"/>
        </patternFill>
      </fill>
      <border/>
    </dxf>
    <dxf>
      <font>
        <color rgb="FFFFFFFF"/>
      </font>
      <fill>
        <patternFill patternType="solid">
          <fgColor rgb="FF274E13"/>
          <bgColor rgb="FF274E1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2.88"/>
    <col customWidth="1" min="2" max="2" width="15.0"/>
    <col customWidth="1" min="3" max="3" width="20.13"/>
    <col customWidth="1" min="4" max="4" width="21.13"/>
    <col customWidth="1" min="5" max="5" width="21.38"/>
    <col customWidth="1" min="6" max="6" width="18.63"/>
    <col customWidth="1" min="7" max="7" width="19.5"/>
    <col customWidth="1" min="8" max="8" width="30.25"/>
    <col customWidth="1" min="9" max="9" width="26.88"/>
    <col customWidth="1" min="10" max="10" width="24.25"/>
    <col customWidth="1" min="13" max="13" width="2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/>
      <c r="K1" s="4"/>
      <c r="L1" s="4"/>
      <c r="M1" s="3"/>
      <c r="N1" s="4"/>
      <c r="O1" s="4"/>
      <c r="P1" s="4"/>
      <c r="Q1" s="4"/>
      <c r="R1" s="4"/>
      <c r="S1" s="4"/>
      <c r="T1" s="4"/>
      <c r="U1" s="4"/>
    </row>
    <row r="2">
      <c r="A2" s="5" t="s">
        <v>9</v>
      </c>
      <c r="B2" s="6">
        <f>'Meal Count'!AG2</f>
        <v>23</v>
      </c>
      <c r="C2" s="7">
        <f>sum('Meal Costing'!D34/'Meal Count'!AG12)</f>
        <v>54.1399177</v>
      </c>
      <c r="D2" s="8">
        <f t="shared" ref="D2:D7" si="1">sum(B2*C2)</f>
        <v>1245.218107</v>
      </c>
      <c r="E2" s="7">
        <f>sum('Wifi,Gas,Electricity'!D19/I2)</f>
        <v>440.5</v>
      </c>
      <c r="F2" s="6">
        <f>sum('Meal Costing'!G8+'Wifi,Gas,Electricity'!G8+'Monthly Global Bazar'!G8)</f>
        <v>1395</v>
      </c>
      <c r="G2" s="7">
        <f t="shared" ref="G2:G7" si="2">sum(F2-D2-E2)</f>
        <v>-290.718107</v>
      </c>
      <c r="H2" s="4" t="str">
        <f t="shared" ref="H2:H7" si="3">IF(G2&lt;0, "You have to pay", IF(G2&gt;0, "You will get paid", "Settlement"))</f>
        <v>You have to pay</v>
      </c>
      <c r="I2" s="9">
        <v>6.0</v>
      </c>
      <c r="K2" s="4"/>
      <c r="L2" s="4"/>
      <c r="M2" s="10"/>
      <c r="N2" s="3"/>
      <c r="O2" s="4"/>
      <c r="P2" s="4"/>
      <c r="Q2" s="4"/>
      <c r="R2" s="4"/>
      <c r="S2" s="4"/>
      <c r="T2" s="4"/>
      <c r="U2" s="4"/>
    </row>
    <row r="3">
      <c r="A3" s="2" t="s">
        <v>10</v>
      </c>
      <c r="B3" s="11">
        <f>'Meal Count'!AG3</f>
        <v>19</v>
      </c>
      <c r="C3" s="12">
        <f>sum('Meal Costing'!D34/'Meal Count'!AG12)</f>
        <v>54.1399177</v>
      </c>
      <c r="D3" s="13">
        <f t="shared" si="1"/>
        <v>1028.658436</v>
      </c>
      <c r="E3" s="12">
        <f>sum('Wifi,Gas,Electricity'!D19/I2)</f>
        <v>440.5</v>
      </c>
      <c r="F3" s="11">
        <f>sum('Meal Costing'!G7+'Wifi,Gas,Electricity'!G7+'Monthly Global Bazar'!G7)</f>
        <v>1455</v>
      </c>
      <c r="G3" s="12">
        <f t="shared" si="2"/>
        <v>-14.15843621</v>
      </c>
      <c r="H3" s="4" t="str">
        <f t="shared" si="3"/>
        <v>You have to pay</v>
      </c>
      <c r="I3" s="3"/>
      <c r="J3" s="4"/>
      <c r="K3" s="4"/>
      <c r="L3" s="4"/>
      <c r="M3" s="10"/>
      <c r="N3" s="3"/>
      <c r="O3" s="4"/>
      <c r="P3" s="4"/>
      <c r="Q3" s="4"/>
      <c r="R3" s="4"/>
      <c r="S3" s="4"/>
      <c r="T3" s="4"/>
      <c r="U3" s="4"/>
    </row>
    <row r="4">
      <c r="A4" s="14" t="s">
        <v>11</v>
      </c>
      <c r="B4" s="15">
        <f>'Meal Count'!AG4</f>
        <v>20</v>
      </c>
      <c r="C4" s="16">
        <f>sum('Meal Costing'!D34/'Meal Count'!AG12)</f>
        <v>54.1399177</v>
      </c>
      <c r="D4" s="17">
        <f t="shared" si="1"/>
        <v>1082.798354</v>
      </c>
      <c r="E4" s="16">
        <f>sum('Wifi,Gas,Electricity'!D19/I2)</f>
        <v>440.5</v>
      </c>
      <c r="F4" s="15">
        <f>sum('Meal Costing'!G9+'Wifi,Gas,Electricity'!G9+'Monthly Global Bazar'!G9)</f>
        <v>1935</v>
      </c>
      <c r="G4" s="16">
        <f t="shared" si="2"/>
        <v>411.7016461</v>
      </c>
      <c r="H4" s="4" t="str">
        <f t="shared" si="3"/>
        <v>You will get paid</v>
      </c>
      <c r="I4" s="3"/>
      <c r="J4" s="4"/>
      <c r="K4" s="4"/>
      <c r="L4" s="4"/>
      <c r="M4" s="3"/>
      <c r="N4" s="3"/>
      <c r="O4" s="4"/>
      <c r="P4" s="4"/>
      <c r="Q4" s="4"/>
      <c r="R4" s="4"/>
      <c r="S4" s="4"/>
      <c r="T4" s="4"/>
      <c r="U4" s="4"/>
    </row>
    <row r="5">
      <c r="A5" s="18" t="s">
        <v>12</v>
      </c>
      <c r="B5" s="19">
        <f>'Meal Count'!AG5</f>
        <v>23.5</v>
      </c>
      <c r="C5" s="20">
        <f>sum('Meal Costing'!D34/'Meal Count'!AG12)</f>
        <v>54.1399177</v>
      </c>
      <c r="D5" s="21">
        <f t="shared" si="1"/>
        <v>1272.288066</v>
      </c>
      <c r="E5" s="20">
        <f>sum('Wifi,Gas,Electricity'!D19/I2)</f>
        <v>440.5</v>
      </c>
      <c r="F5" s="19">
        <f>sum('Meal Costing'!G10+'Wifi,Gas,Electricity'!G10+'Monthly Global Bazar'!G10)</f>
        <v>1910</v>
      </c>
      <c r="G5" s="20">
        <f t="shared" si="2"/>
        <v>197.2119342</v>
      </c>
      <c r="H5" s="4" t="str">
        <f t="shared" si="3"/>
        <v>You will get paid</v>
      </c>
      <c r="I5" s="3"/>
      <c r="J5" s="4"/>
      <c r="K5" s="4"/>
      <c r="L5" s="4"/>
      <c r="M5" s="3"/>
      <c r="N5" s="3"/>
      <c r="O5" s="4"/>
      <c r="P5" s="4"/>
      <c r="Q5" s="4"/>
      <c r="R5" s="4"/>
      <c r="S5" s="4"/>
      <c r="T5" s="4"/>
      <c r="U5" s="4"/>
    </row>
    <row r="6">
      <c r="A6" s="5" t="s">
        <v>13</v>
      </c>
      <c r="B6" s="6">
        <f>'Meal Count'!AG6</f>
        <v>27</v>
      </c>
      <c r="C6" s="7">
        <f>sum('Meal Costing'!D34/'Meal Count'!AG12)</f>
        <v>54.1399177</v>
      </c>
      <c r="D6" s="8">
        <f t="shared" si="1"/>
        <v>1461.777778</v>
      </c>
      <c r="E6" s="7">
        <f>sum('Wifi,Gas,Electricity'!D19/I2)</f>
        <v>440.5</v>
      </c>
      <c r="F6" s="6">
        <f>sum('Meal Costing'!G11+'Wifi,Gas,Electricity'!G11+'Monthly Global Bazar'!G11)</f>
        <v>666</v>
      </c>
      <c r="G6" s="7">
        <f t="shared" si="2"/>
        <v>-1236.277778</v>
      </c>
      <c r="H6" s="4" t="str">
        <f t="shared" si="3"/>
        <v>You have to pay</v>
      </c>
      <c r="I6" s="3"/>
      <c r="J6" s="4"/>
      <c r="K6" s="4"/>
      <c r="L6" s="4"/>
      <c r="M6" s="3"/>
      <c r="N6" s="3"/>
      <c r="O6" s="4"/>
      <c r="P6" s="4"/>
      <c r="Q6" s="4"/>
      <c r="R6" s="4"/>
      <c r="S6" s="4"/>
      <c r="T6" s="4"/>
      <c r="U6" s="4"/>
    </row>
    <row r="7">
      <c r="A7" s="2" t="s">
        <v>14</v>
      </c>
      <c r="B7" s="11">
        <f>'Meal Count'!AG7</f>
        <v>9</v>
      </c>
      <c r="C7" s="12">
        <f>sum('Meal Costing'!D34/'Meal Count'!AG12)</f>
        <v>54.1399177</v>
      </c>
      <c r="D7" s="13">
        <f t="shared" si="1"/>
        <v>487.2592593</v>
      </c>
      <c r="E7" s="12">
        <f>sum('Wifi,Gas,Electricity'!D19/I2)</f>
        <v>440.5</v>
      </c>
      <c r="F7" s="11">
        <f>sum('Meal Costing'!G12+'Wifi,Gas,Electricity'!G12+'Monthly Global Bazar'!G12)</f>
        <v>1860</v>
      </c>
      <c r="G7" s="12">
        <f t="shared" si="2"/>
        <v>932.2407407</v>
      </c>
      <c r="H7" s="4" t="str">
        <f t="shared" si="3"/>
        <v>You will get paid</v>
      </c>
      <c r="I7" s="3"/>
      <c r="J7" s="4"/>
      <c r="K7" s="4"/>
      <c r="L7" s="4"/>
      <c r="O7" s="4"/>
      <c r="P7" s="4"/>
      <c r="Q7" s="4"/>
      <c r="R7" s="4"/>
      <c r="S7" s="4"/>
      <c r="T7" s="4"/>
      <c r="U7" s="4"/>
    </row>
    <row r="8">
      <c r="A8" s="3"/>
      <c r="B8" s="4"/>
      <c r="C8" s="22"/>
      <c r="D8" s="23"/>
      <c r="E8" s="4"/>
      <c r="F8" s="4"/>
      <c r="G8" s="4"/>
      <c r="H8" s="4"/>
      <c r="I8" s="3"/>
      <c r="J8" s="4"/>
      <c r="K8" s="4"/>
      <c r="L8" s="4"/>
      <c r="O8" s="4"/>
      <c r="P8" s="4"/>
      <c r="Q8" s="4"/>
      <c r="R8" s="4"/>
      <c r="S8" s="4"/>
      <c r="T8" s="4"/>
      <c r="U8" s="4"/>
    </row>
    <row r="9">
      <c r="A9" s="3"/>
      <c r="B9" s="4"/>
      <c r="C9" s="22"/>
      <c r="D9" s="22"/>
      <c r="E9" s="4"/>
      <c r="F9" s="4"/>
      <c r="G9" s="4"/>
      <c r="H9" s="4"/>
      <c r="I9" s="4"/>
      <c r="J9" s="4"/>
      <c r="K9" s="4"/>
      <c r="L9" s="4"/>
      <c r="O9" s="4"/>
      <c r="P9" s="4"/>
      <c r="Q9" s="4"/>
      <c r="R9" s="4"/>
      <c r="S9" s="4"/>
      <c r="T9" s="4"/>
      <c r="U9" s="4"/>
    </row>
    <row r="10">
      <c r="A10" s="3"/>
      <c r="B10" s="4"/>
      <c r="C10" s="23"/>
      <c r="D10" s="23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3"/>
      <c r="B11" s="4"/>
      <c r="C11" s="22"/>
      <c r="D11" s="2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3"/>
      <c r="M14" s="4"/>
      <c r="N14" s="4"/>
      <c r="O14" s="4"/>
      <c r="P14" s="4"/>
      <c r="Q14" s="4"/>
      <c r="R14" s="4"/>
      <c r="S14" s="4"/>
      <c r="T14" s="4"/>
      <c r="U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  <c r="M15" s="3"/>
      <c r="N15" s="4"/>
      <c r="O15" s="4"/>
      <c r="P15" s="4"/>
      <c r="Q15" s="4"/>
      <c r="R15" s="4"/>
      <c r="S15" s="4"/>
      <c r="T15" s="4"/>
      <c r="U15" s="4"/>
    </row>
    <row r="16">
      <c r="A16" s="9" t="s">
        <v>15</v>
      </c>
      <c r="B16" s="24">
        <f>sum(B2:B8)</f>
        <v>121.5</v>
      </c>
      <c r="C16" s="9" t="s">
        <v>16</v>
      </c>
      <c r="D16" s="25">
        <f>sum(D2:D8)</f>
        <v>6578</v>
      </c>
      <c r="E16" s="25">
        <f>sum(E2:E7)</f>
        <v>2643</v>
      </c>
      <c r="F16" s="24"/>
      <c r="G16" s="25">
        <f>sum(G2:G8)</f>
        <v>0</v>
      </c>
      <c r="H16" s="3"/>
      <c r="I16" s="4"/>
      <c r="J16" s="4"/>
      <c r="K16" s="4"/>
      <c r="L16" s="4"/>
      <c r="M16" s="3"/>
      <c r="N16" s="4"/>
      <c r="O16" s="4"/>
      <c r="P16" s="4"/>
      <c r="Q16" s="4"/>
      <c r="R16" s="4"/>
      <c r="S16" s="4"/>
      <c r="T16" s="4"/>
      <c r="U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3"/>
      <c r="N19" s="4"/>
      <c r="O19" s="4"/>
      <c r="P19" s="4"/>
      <c r="Q19" s="4"/>
      <c r="R19" s="4"/>
      <c r="S19" s="4"/>
      <c r="T19" s="4"/>
      <c r="U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</sheetData>
  <conditionalFormatting sqref="M2:M4">
    <cfRule type="cellIs" dxfId="0" priority="1" operator="greaterThan">
      <formula>0</formula>
    </cfRule>
  </conditionalFormatting>
  <conditionalFormatting sqref="M2:M4">
    <cfRule type="cellIs" dxfId="1" priority="2" operator="lessThan">
      <formula>0</formula>
    </cfRule>
  </conditionalFormatting>
  <conditionalFormatting sqref="H2:H16">
    <cfRule type="cellIs" dxfId="1" priority="3" operator="lessThan">
      <formula>0</formula>
    </cfRule>
  </conditionalFormatting>
  <conditionalFormatting sqref="H2:H16">
    <cfRule type="cellIs" dxfId="0" priority="4" operator="greaterThan">
      <formula>0</formula>
    </cfRule>
  </conditionalFormatting>
  <conditionalFormatting sqref="H2:H16">
    <cfRule type="cellIs" dxfId="2" priority="5" operator="equal">
      <formula>0</formula>
    </cfRule>
  </conditionalFormatting>
  <conditionalFormatting sqref="I1 I3:I16">
    <cfRule type="cellIs" dxfId="0" priority="6" operator="greaterThan">
      <formula>0</formula>
    </cfRule>
  </conditionalFormatting>
  <conditionalFormatting sqref="I1 I3:I16">
    <cfRule type="cellIs" dxfId="1" priority="7" operator="lessThan">
      <formula>0</formula>
    </cfRule>
  </conditionalFormatting>
  <conditionalFormatting sqref="I1 I3:I16">
    <cfRule type="cellIs" dxfId="2" priority="8" operator="equal">
      <formula>0</formula>
    </cfRule>
  </conditionalFormatting>
  <conditionalFormatting sqref="G2:G7">
    <cfRule type="cellIs" dxfId="3" priority="9" operator="lessThan">
      <formula>0</formula>
    </cfRule>
  </conditionalFormatting>
  <conditionalFormatting sqref="G2:G7">
    <cfRule type="cellIs" dxfId="0" priority="10" operator="greaterThan">
      <formula>0</formula>
    </cfRule>
  </conditionalFormatting>
  <conditionalFormatting sqref="G2:G7">
    <cfRule type="cellIs" dxfId="4" priority="11" operator="equal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7.0"/>
    <col customWidth="1" min="2" max="2" width="7.5"/>
    <col customWidth="1" min="3" max="3" width="7.38"/>
    <col customWidth="1" min="4" max="4" width="6.63"/>
    <col customWidth="1" min="5" max="5" width="7.5"/>
    <col customWidth="1" min="6" max="6" width="6.25"/>
    <col customWidth="1" min="7" max="7" width="6.63"/>
    <col customWidth="1" min="8" max="8" width="7.75"/>
    <col customWidth="1" min="9" max="9" width="7.5"/>
    <col customWidth="1" min="10" max="10" width="6.63"/>
    <col customWidth="1" min="11" max="11" width="8.0"/>
    <col customWidth="1" min="12" max="12" width="8.13"/>
    <col customWidth="1" min="13" max="13" width="8.0"/>
    <col customWidth="1" min="14" max="14" width="8.25"/>
    <col customWidth="1" min="15" max="15" width="7.25"/>
    <col customWidth="1" min="16" max="16" width="8.0"/>
    <col customWidth="1" min="17" max="17" width="7.88"/>
    <col customWidth="1" min="18" max="18" width="8.38"/>
    <col customWidth="1" min="19" max="19" width="8.13"/>
    <col customWidth="1" min="20" max="20" width="7.63"/>
    <col customWidth="1" min="21" max="21" width="7.13"/>
    <col customWidth="1" min="22" max="22" width="8.5"/>
    <col customWidth="1" min="23" max="23" width="7.75"/>
    <col customWidth="1" min="24" max="24" width="8.25"/>
    <col customWidth="1" min="25" max="25" width="8.38"/>
    <col customWidth="1" min="26" max="26" width="9.13"/>
    <col customWidth="1" min="27" max="27" width="10.13"/>
    <col customWidth="1" min="28" max="28" width="9.38"/>
    <col customWidth="1" min="29" max="29" width="7.75"/>
    <col customWidth="1" min="30" max="30" width="7.88"/>
    <col customWidth="1" min="31" max="31" width="7.38"/>
    <col customWidth="1" min="32" max="32" width="8.75"/>
  </cols>
  <sheetData>
    <row r="1">
      <c r="A1" s="26" t="s">
        <v>17</v>
      </c>
      <c r="B1" s="26">
        <v>1.0</v>
      </c>
      <c r="C1" s="26">
        <v>2.0</v>
      </c>
      <c r="D1" s="26">
        <v>3.0</v>
      </c>
      <c r="E1" s="26">
        <v>4.0</v>
      </c>
      <c r="F1" s="26">
        <v>5.0</v>
      </c>
      <c r="G1" s="26">
        <v>6.0</v>
      </c>
      <c r="H1" s="26">
        <v>7.0</v>
      </c>
      <c r="I1" s="26">
        <v>8.0</v>
      </c>
      <c r="J1" s="26">
        <v>9.0</v>
      </c>
      <c r="K1" s="26">
        <v>10.0</v>
      </c>
      <c r="L1" s="26">
        <v>11.0</v>
      </c>
      <c r="M1" s="26">
        <v>12.0</v>
      </c>
      <c r="N1" s="26">
        <v>13.0</v>
      </c>
      <c r="O1" s="26">
        <v>14.0</v>
      </c>
      <c r="P1" s="26">
        <v>15.0</v>
      </c>
      <c r="Q1" s="26">
        <v>16.0</v>
      </c>
      <c r="R1" s="26">
        <v>17.0</v>
      </c>
      <c r="S1" s="26">
        <v>18.0</v>
      </c>
      <c r="T1" s="26">
        <v>19.0</v>
      </c>
      <c r="U1" s="26">
        <v>20.0</v>
      </c>
      <c r="V1" s="26">
        <v>21.0</v>
      </c>
      <c r="W1" s="26">
        <v>22.0</v>
      </c>
      <c r="X1" s="26">
        <v>23.0</v>
      </c>
      <c r="Y1" s="26">
        <v>24.0</v>
      </c>
      <c r="Z1" s="26">
        <v>25.0</v>
      </c>
      <c r="AA1" s="26">
        <v>26.0</v>
      </c>
      <c r="AB1" s="26">
        <v>27.0</v>
      </c>
      <c r="AC1" s="26">
        <v>28.0</v>
      </c>
      <c r="AD1" s="26">
        <v>29.0</v>
      </c>
      <c r="AE1" s="26">
        <v>30.0</v>
      </c>
      <c r="AF1" s="26">
        <v>31.0</v>
      </c>
      <c r="AG1" s="27">
        <f>SUM(AG2:AG11)</f>
        <v>121.5</v>
      </c>
      <c r="AH1" s="3"/>
    </row>
    <row r="2">
      <c r="A2" s="14" t="s">
        <v>9</v>
      </c>
      <c r="B2" s="28">
        <v>0.0</v>
      </c>
      <c r="C2" s="28">
        <v>1.0</v>
      </c>
      <c r="D2" s="28">
        <v>1.0</v>
      </c>
      <c r="E2" s="28">
        <v>1.0</v>
      </c>
      <c r="F2" s="28">
        <v>1.0</v>
      </c>
      <c r="G2" s="28">
        <v>1.0</v>
      </c>
      <c r="H2" s="28">
        <v>0.0</v>
      </c>
      <c r="I2" s="28">
        <v>2.0</v>
      </c>
      <c r="J2" s="28">
        <v>2.0</v>
      </c>
      <c r="K2" s="28">
        <v>1.0</v>
      </c>
      <c r="L2" s="28">
        <v>1.0</v>
      </c>
      <c r="M2" s="28">
        <v>1.0</v>
      </c>
      <c r="N2" s="28">
        <v>1.0</v>
      </c>
      <c r="O2" s="28">
        <v>1.0</v>
      </c>
      <c r="P2" s="28">
        <v>2.0</v>
      </c>
      <c r="Q2" s="28">
        <v>2.0</v>
      </c>
      <c r="R2" s="28">
        <v>1.0</v>
      </c>
      <c r="S2" s="28">
        <v>0.0</v>
      </c>
      <c r="T2" s="28">
        <v>1.0</v>
      </c>
      <c r="U2" s="28">
        <v>1.0</v>
      </c>
      <c r="V2" s="28">
        <v>1.0</v>
      </c>
      <c r="W2" s="28">
        <v>1.0</v>
      </c>
      <c r="X2" s="28">
        <v>0.0</v>
      </c>
      <c r="Y2" s="28">
        <v>0.0</v>
      </c>
      <c r="Z2" s="28">
        <v>0.0</v>
      </c>
      <c r="AA2" s="28">
        <v>0.0</v>
      </c>
      <c r="AB2" s="28">
        <v>0.0</v>
      </c>
      <c r="AC2" s="28">
        <v>0.0</v>
      </c>
      <c r="AD2" s="28">
        <v>0.0</v>
      </c>
      <c r="AE2" s="28">
        <v>0.0</v>
      </c>
      <c r="AF2" s="28">
        <v>0.0</v>
      </c>
      <c r="AG2" s="29">
        <f t="shared" ref="AG2:AG7" si="1">sum(B2:AF2)</f>
        <v>23</v>
      </c>
      <c r="AH2" s="29"/>
    </row>
    <row r="3">
      <c r="A3" s="18" t="s">
        <v>10</v>
      </c>
      <c r="B3" s="30">
        <v>0.0</v>
      </c>
      <c r="C3" s="30">
        <v>0.0</v>
      </c>
      <c r="D3" s="30">
        <v>0.0</v>
      </c>
      <c r="E3" s="30">
        <v>0.0</v>
      </c>
      <c r="F3" s="30">
        <v>0.0</v>
      </c>
      <c r="G3" s="30">
        <v>1.0</v>
      </c>
      <c r="H3" s="30">
        <v>2.0</v>
      </c>
      <c r="I3" s="30">
        <v>2.0</v>
      </c>
      <c r="J3" s="30">
        <v>2.0</v>
      </c>
      <c r="K3" s="30">
        <v>1.0</v>
      </c>
      <c r="L3" s="30">
        <v>2.0</v>
      </c>
      <c r="M3" s="30">
        <v>2.0</v>
      </c>
      <c r="N3" s="30">
        <v>2.0</v>
      </c>
      <c r="O3" s="30">
        <v>2.0</v>
      </c>
      <c r="P3" s="30">
        <v>2.0</v>
      </c>
      <c r="Q3" s="30">
        <v>1.0</v>
      </c>
      <c r="R3" s="30">
        <v>0.0</v>
      </c>
      <c r="S3" s="30">
        <v>0.0</v>
      </c>
      <c r="T3" s="30">
        <v>0.0</v>
      </c>
      <c r="U3" s="30">
        <v>0.0</v>
      </c>
      <c r="V3" s="30">
        <v>0.0</v>
      </c>
      <c r="W3" s="30">
        <v>0.0</v>
      </c>
      <c r="X3" s="30">
        <v>0.0</v>
      </c>
      <c r="Y3" s="30">
        <v>0.0</v>
      </c>
      <c r="Z3" s="28">
        <v>0.0</v>
      </c>
      <c r="AA3" s="28">
        <v>0.0</v>
      </c>
      <c r="AB3" s="28">
        <v>0.0</v>
      </c>
      <c r="AC3" s="28">
        <v>0.0</v>
      </c>
      <c r="AD3" s="28">
        <v>0.0</v>
      </c>
      <c r="AE3" s="28">
        <v>0.0</v>
      </c>
      <c r="AF3" s="28">
        <v>0.0</v>
      </c>
      <c r="AG3" s="29">
        <f t="shared" si="1"/>
        <v>19</v>
      </c>
      <c r="AH3" s="29"/>
    </row>
    <row r="4">
      <c r="A4" s="31" t="s">
        <v>11</v>
      </c>
      <c r="B4" s="32">
        <v>1.0</v>
      </c>
      <c r="C4" s="32">
        <v>2.0</v>
      </c>
      <c r="D4" s="32">
        <v>1.0</v>
      </c>
      <c r="E4" s="32">
        <v>1.0</v>
      </c>
      <c r="F4" s="32">
        <v>1.0</v>
      </c>
      <c r="G4" s="32">
        <v>1.0</v>
      </c>
      <c r="H4" s="32">
        <v>0.0</v>
      </c>
      <c r="I4" s="32">
        <v>0.0</v>
      </c>
      <c r="J4" s="32">
        <v>0.0</v>
      </c>
      <c r="K4" s="32">
        <v>1.0</v>
      </c>
      <c r="L4" s="32">
        <v>1.0</v>
      </c>
      <c r="M4" s="32">
        <v>0.0</v>
      </c>
      <c r="N4" s="32">
        <v>1.0</v>
      </c>
      <c r="O4" s="32">
        <v>1.0</v>
      </c>
      <c r="P4" s="32">
        <v>2.0</v>
      </c>
      <c r="Q4" s="32">
        <v>2.0</v>
      </c>
      <c r="R4" s="32">
        <v>1.0</v>
      </c>
      <c r="S4" s="32">
        <v>0.0</v>
      </c>
      <c r="T4" s="32">
        <v>1.0</v>
      </c>
      <c r="U4" s="32">
        <v>1.0</v>
      </c>
      <c r="V4" s="32">
        <v>1.0</v>
      </c>
      <c r="W4" s="32">
        <v>1.0</v>
      </c>
      <c r="X4" s="32">
        <v>0.0</v>
      </c>
      <c r="Y4" s="32">
        <v>0.0</v>
      </c>
      <c r="Z4" s="28">
        <v>0.0</v>
      </c>
      <c r="AA4" s="28">
        <v>0.0</v>
      </c>
      <c r="AB4" s="28">
        <v>0.0</v>
      </c>
      <c r="AC4" s="28">
        <v>0.0</v>
      </c>
      <c r="AD4" s="28">
        <v>0.0</v>
      </c>
      <c r="AE4" s="28">
        <v>0.0</v>
      </c>
      <c r="AF4" s="28">
        <v>0.0</v>
      </c>
      <c r="AG4" s="29">
        <f t="shared" si="1"/>
        <v>20</v>
      </c>
      <c r="AH4" s="29"/>
    </row>
    <row r="5">
      <c r="A5" s="18" t="s">
        <v>12</v>
      </c>
      <c r="B5" s="33">
        <v>0.0</v>
      </c>
      <c r="C5" s="33">
        <v>0.0</v>
      </c>
      <c r="D5" s="33">
        <v>0.0</v>
      </c>
      <c r="E5" s="33">
        <v>1.5</v>
      </c>
      <c r="F5" s="33">
        <v>1.0</v>
      </c>
      <c r="G5" s="33">
        <v>1.5</v>
      </c>
      <c r="H5" s="33">
        <v>1.5</v>
      </c>
      <c r="I5" s="33">
        <v>2.5</v>
      </c>
      <c r="J5" s="33">
        <v>2.5</v>
      </c>
      <c r="K5" s="33">
        <v>1.5</v>
      </c>
      <c r="L5" s="33">
        <v>1.5</v>
      </c>
      <c r="M5" s="33">
        <v>1.5</v>
      </c>
      <c r="N5" s="33">
        <v>1.5</v>
      </c>
      <c r="O5" s="33">
        <v>0.0</v>
      </c>
      <c r="P5" s="33">
        <v>0.0</v>
      </c>
      <c r="Q5" s="33">
        <v>0.0</v>
      </c>
      <c r="R5" s="33">
        <v>1.0</v>
      </c>
      <c r="S5" s="33">
        <v>0.0</v>
      </c>
      <c r="T5" s="33">
        <v>1.5</v>
      </c>
      <c r="U5" s="33">
        <v>1.0</v>
      </c>
      <c r="V5" s="33">
        <v>1.5</v>
      </c>
      <c r="W5" s="33">
        <v>1.0</v>
      </c>
      <c r="X5" s="33">
        <v>1.0</v>
      </c>
      <c r="Y5" s="33">
        <v>0.0</v>
      </c>
      <c r="Z5" s="28">
        <v>0.0</v>
      </c>
      <c r="AA5" s="28">
        <v>0.0</v>
      </c>
      <c r="AB5" s="28">
        <v>0.0</v>
      </c>
      <c r="AC5" s="28">
        <v>0.0</v>
      </c>
      <c r="AD5" s="28">
        <v>0.0</v>
      </c>
      <c r="AE5" s="28">
        <v>0.0</v>
      </c>
      <c r="AF5" s="28">
        <v>0.0</v>
      </c>
      <c r="AG5" s="29">
        <f t="shared" si="1"/>
        <v>23.5</v>
      </c>
      <c r="AH5" s="29"/>
    </row>
    <row r="6">
      <c r="A6" s="31" t="s">
        <v>13</v>
      </c>
      <c r="B6" s="34">
        <v>1.0</v>
      </c>
      <c r="C6" s="34">
        <v>2.0</v>
      </c>
      <c r="D6" s="34">
        <v>1.5</v>
      </c>
      <c r="E6" s="34">
        <v>1.5</v>
      </c>
      <c r="F6" s="34">
        <v>1.0</v>
      </c>
      <c r="G6" s="34">
        <v>1.0</v>
      </c>
      <c r="H6" s="34">
        <v>1.5</v>
      </c>
      <c r="I6" s="34">
        <v>2.0</v>
      </c>
      <c r="J6" s="34">
        <v>2.0</v>
      </c>
      <c r="K6" s="34">
        <v>1.5</v>
      </c>
      <c r="L6" s="34">
        <v>1.5</v>
      </c>
      <c r="M6" s="34">
        <v>1.0</v>
      </c>
      <c r="N6" s="34">
        <v>0.0</v>
      </c>
      <c r="O6" s="34">
        <v>0.0</v>
      </c>
      <c r="P6" s="34">
        <v>1.0</v>
      </c>
      <c r="Q6" s="34">
        <v>2.0</v>
      </c>
      <c r="R6" s="34">
        <v>1.0</v>
      </c>
      <c r="S6" s="34">
        <v>0.0</v>
      </c>
      <c r="T6" s="34">
        <v>1.0</v>
      </c>
      <c r="U6" s="34">
        <v>1.0</v>
      </c>
      <c r="V6" s="34">
        <v>1.5</v>
      </c>
      <c r="W6" s="34">
        <v>1.0</v>
      </c>
      <c r="X6" s="34">
        <v>1.0</v>
      </c>
      <c r="Y6" s="34">
        <v>0.0</v>
      </c>
      <c r="Z6" s="28">
        <v>0.0</v>
      </c>
      <c r="AA6" s="28">
        <v>0.0</v>
      </c>
      <c r="AB6" s="28">
        <v>0.0</v>
      </c>
      <c r="AC6" s="28">
        <v>0.0</v>
      </c>
      <c r="AD6" s="28">
        <v>0.0</v>
      </c>
      <c r="AE6" s="28">
        <v>0.0</v>
      </c>
      <c r="AF6" s="28">
        <v>0.0</v>
      </c>
      <c r="AG6" s="29">
        <f t="shared" si="1"/>
        <v>27</v>
      </c>
      <c r="AH6" s="29"/>
    </row>
    <row r="7">
      <c r="A7" s="5" t="s">
        <v>14</v>
      </c>
      <c r="B7" s="35">
        <v>1.0</v>
      </c>
      <c r="C7" s="35">
        <v>2.0</v>
      </c>
      <c r="D7" s="35">
        <v>1.5</v>
      </c>
      <c r="E7" s="35">
        <v>1.5</v>
      </c>
      <c r="F7" s="35">
        <v>0.5</v>
      </c>
      <c r="G7" s="35">
        <v>0.0</v>
      </c>
      <c r="H7" s="35">
        <v>0.0</v>
      </c>
      <c r="I7" s="35">
        <v>0.0</v>
      </c>
      <c r="J7" s="35">
        <v>0.0</v>
      </c>
      <c r="K7" s="35">
        <v>0.0</v>
      </c>
      <c r="L7" s="35">
        <v>0.0</v>
      </c>
      <c r="M7" s="35">
        <v>1.0</v>
      </c>
      <c r="N7" s="35">
        <v>1.5</v>
      </c>
      <c r="O7" s="35">
        <v>0.0</v>
      </c>
      <c r="P7" s="35">
        <v>0.0</v>
      </c>
      <c r="Q7" s="35">
        <v>0.0</v>
      </c>
      <c r="R7" s="35">
        <v>0.0</v>
      </c>
      <c r="S7" s="35">
        <v>0.0</v>
      </c>
      <c r="T7" s="35">
        <v>0.0</v>
      </c>
      <c r="U7" s="35">
        <v>0.0</v>
      </c>
      <c r="V7" s="35">
        <v>0.0</v>
      </c>
      <c r="W7" s="35">
        <v>0.0</v>
      </c>
      <c r="X7" s="35">
        <v>0.0</v>
      </c>
      <c r="Y7" s="35">
        <v>0.0</v>
      </c>
      <c r="Z7" s="28">
        <v>0.0</v>
      </c>
      <c r="AA7" s="28">
        <v>0.0</v>
      </c>
      <c r="AB7" s="28">
        <v>0.0</v>
      </c>
      <c r="AC7" s="28">
        <v>0.0</v>
      </c>
      <c r="AD7" s="28">
        <v>0.0</v>
      </c>
      <c r="AE7" s="28">
        <v>0.0</v>
      </c>
      <c r="AF7" s="28">
        <v>0.0</v>
      </c>
      <c r="AG7" s="29">
        <f t="shared" si="1"/>
        <v>9</v>
      </c>
      <c r="AH7" s="29"/>
    </row>
    <row r="8">
      <c r="A8" s="14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9"/>
      <c r="AH8" s="29"/>
    </row>
    <row r="9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29"/>
      <c r="AH9" s="29"/>
    </row>
    <row r="10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29"/>
      <c r="AH10" s="29"/>
    </row>
    <row r="11">
      <c r="A11" s="38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29"/>
      <c r="AH11" s="29"/>
    </row>
    <row r="12">
      <c r="A12" s="40" t="s">
        <v>18</v>
      </c>
      <c r="B12" s="41">
        <f t="shared" ref="B12:AF12" si="2">SUM(B2:B11)</f>
        <v>3</v>
      </c>
      <c r="C12" s="41">
        <f t="shared" si="2"/>
        <v>7</v>
      </c>
      <c r="D12" s="41">
        <f t="shared" si="2"/>
        <v>5</v>
      </c>
      <c r="E12" s="41">
        <f t="shared" si="2"/>
        <v>6.5</v>
      </c>
      <c r="F12" s="41">
        <f t="shared" si="2"/>
        <v>4.5</v>
      </c>
      <c r="G12" s="41">
        <f t="shared" si="2"/>
        <v>5.5</v>
      </c>
      <c r="H12" s="41">
        <f t="shared" si="2"/>
        <v>5</v>
      </c>
      <c r="I12" s="41">
        <f t="shared" si="2"/>
        <v>8.5</v>
      </c>
      <c r="J12" s="41">
        <f t="shared" si="2"/>
        <v>8.5</v>
      </c>
      <c r="K12" s="41">
        <f t="shared" si="2"/>
        <v>6</v>
      </c>
      <c r="L12" s="41">
        <f t="shared" si="2"/>
        <v>7</v>
      </c>
      <c r="M12" s="41">
        <f t="shared" si="2"/>
        <v>6.5</v>
      </c>
      <c r="N12" s="41">
        <f t="shared" si="2"/>
        <v>7</v>
      </c>
      <c r="O12" s="41">
        <f t="shared" si="2"/>
        <v>4</v>
      </c>
      <c r="P12" s="41">
        <f t="shared" si="2"/>
        <v>7</v>
      </c>
      <c r="Q12" s="41">
        <f t="shared" si="2"/>
        <v>7</v>
      </c>
      <c r="R12" s="41">
        <f t="shared" si="2"/>
        <v>4</v>
      </c>
      <c r="S12" s="41">
        <f t="shared" si="2"/>
        <v>0</v>
      </c>
      <c r="T12" s="41">
        <f t="shared" si="2"/>
        <v>4.5</v>
      </c>
      <c r="U12" s="41">
        <f t="shared" si="2"/>
        <v>4</v>
      </c>
      <c r="V12" s="41">
        <f t="shared" si="2"/>
        <v>5</v>
      </c>
      <c r="W12" s="41">
        <f t="shared" si="2"/>
        <v>4</v>
      </c>
      <c r="X12" s="41">
        <f t="shared" si="2"/>
        <v>2</v>
      </c>
      <c r="Y12" s="41">
        <f t="shared" si="2"/>
        <v>0</v>
      </c>
      <c r="Z12" s="41">
        <f t="shared" si="2"/>
        <v>0</v>
      </c>
      <c r="AA12" s="41">
        <f t="shared" si="2"/>
        <v>0</v>
      </c>
      <c r="AB12" s="41">
        <f t="shared" si="2"/>
        <v>0</v>
      </c>
      <c r="AC12" s="41">
        <f t="shared" si="2"/>
        <v>0</v>
      </c>
      <c r="AD12" s="41">
        <f t="shared" si="2"/>
        <v>0</v>
      </c>
      <c r="AE12" s="41">
        <f t="shared" si="2"/>
        <v>0</v>
      </c>
      <c r="AF12" s="41">
        <f t="shared" si="2"/>
        <v>0</v>
      </c>
      <c r="AG12" s="41">
        <f>AG1</f>
        <v>121.5</v>
      </c>
      <c r="AH12" s="41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3" t="s">
        <v>19</v>
      </c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  <c r="AF538" s="42"/>
      <c r="AG538" s="42"/>
      <c r="AH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  <c r="AF539" s="42"/>
      <c r="AG539" s="42"/>
      <c r="AH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  <c r="AF540" s="42"/>
      <c r="AG540" s="42"/>
      <c r="AH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  <c r="AF541" s="42"/>
      <c r="AG541" s="42"/>
      <c r="AH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2"/>
      <c r="AG542" s="42"/>
      <c r="AH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  <c r="AF543" s="42"/>
      <c r="AG543" s="42"/>
      <c r="AH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  <c r="AF544" s="42"/>
      <c r="AG544" s="42"/>
      <c r="AH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  <c r="AF545" s="42"/>
      <c r="AG545" s="42"/>
      <c r="AH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  <c r="AF547" s="42"/>
      <c r="AG547" s="42"/>
      <c r="AH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  <c r="AF549" s="42"/>
      <c r="AG549" s="42"/>
      <c r="AH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  <c r="AF551" s="42"/>
      <c r="AG551" s="42"/>
      <c r="AH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  <c r="AF553" s="42"/>
      <c r="AG553" s="42"/>
      <c r="AH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  <c r="AF555" s="42"/>
      <c r="AG555" s="42"/>
      <c r="AH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  <c r="AF559" s="42"/>
      <c r="AG559" s="42"/>
      <c r="AH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  <c r="AF561" s="42"/>
      <c r="AG561" s="42"/>
      <c r="AH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  <c r="AF563" s="42"/>
      <c r="AG563" s="42"/>
      <c r="AH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  <c r="AF565" s="42"/>
      <c r="AG565" s="42"/>
      <c r="AH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  <c r="AF568" s="42"/>
      <c r="AG568" s="42"/>
      <c r="AH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  <c r="AF570" s="42"/>
      <c r="AG570" s="42"/>
      <c r="AH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  <c r="AF572" s="42"/>
      <c r="AG572" s="42"/>
      <c r="AH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  <c r="AF574" s="42"/>
      <c r="AG574" s="42"/>
      <c r="AH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  <c r="AF576" s="42"/>
      <c r="AG576" s="42"/>
      <c r="AH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  <c r="AF578" s="42"/>
      <c r="AG578" s="42"/>
      <c r="AH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  <c r="AF580" s="42"/>
      <c r="AG580" s="42"/>
      <c r="AH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  <c r="AF581" s="42"/>
      <c r="AG581" s="42"/>
      <c r="AH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  <c r="AF582" s="42"/>
      <c r="AG582" s="42"/>
      <c r="AH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  <c r="AF583" s="42"/>
      <c r="AG583" s="42"/>
      <c r="AH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  <c r="AF584" s="42"/>
      <c r="AG584" s="42"/>
      <c r="AH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  <c r="AF585" s="42"/>
      <c r="AG585" s="42"/>
      <c r="AH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  <c r="AF586" s="42"/>
      <c r="AG586" s="42"/>
      <c r="AH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  <c r="AF587" s="42"/>
      <c r="AG587" s="42"/>
      <c r="AH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  <c r="AF588" s="42"/>
      <c r="AG588" s="42"/>
      <c r="AH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  <c r="AF589" s="42"/>
      <c r="AG589" s="42"/>
      <c r="AH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  <c r="AF590" s="42"/>
      <c r="AG590" s="42"/>
      <c r="AH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  <c r="AF591" s="42"/>
      <c r="AG591" s="42"/>
      <c r="AH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  <c r="AF592" s="42"/>
      <c r="AG592" s="42"/>
      <c r="AH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  <c r="AF593" s="42"/>
      <c r="AG593" s="42"/>
      <c r="AH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  <c r="AF594" s="42"/>
      <c r="AG594" s="42"/>
      <c r="AH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  <c r="AF596" s="42"/>
      <c r="AG596" s="42"/>
      <c r="AH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  <c r="AF597" s="42"/>
      <c r="AG597" s="42"/>
      <c r="AH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  <c r="AF599" s="42"/>
      <c r="AG599" s="42"/>
      <c r="AH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  <c r="AF600" s="42"/>
      <c r="AG600" s="42"/>
      <c r="AH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  <c r="AF601" s="42"/>
      <c r="AG601" s="42"/>
      <c r="AH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  <c r="AF602" s="42"/>
      <c r="AG602" s="42"/>
      <c r="AH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  <c r="AF603" s="42"/>
      <c r="AG603" s="42"/>
      <c r="AH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  <c r="AF604" s="42"/>
      <c r="AG604" s="42"/>
      <c r="AH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  <c r="AF605" s="42"/>
      <c r="AG605" s="42"/>
      <c r="AH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  <c r="AF606" s="42"/>
      <c r="AG606" s="42"/>
      <c r="AH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  <c r="AF607" s="42"/>
      <c r="AG607" s="42"/>
      <c r="AH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  <c r="AF608" s="42"/>
      <c r="AG608" s="42"/>
      <c r="AH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  <c r="AF609" s="42"/>
      <c r="AG609" s="42"/>
      <c r="AH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  <c r="AF610" s="42"/>
      <c r="AG610" s="42"/>
      <c r="AH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  <c r="AF611" s="42"/>
      <c r="AG611" s="42"/>
      <c r="AH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  <c r="AF612" s="42"/>
      <c r="AG612" s="42"/>
      <c r="AH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  <c r="AF613" s="42"/>
      <c r="AG613" s="42"/>
      <c r="AH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  <c r="AF614" s="42"/>
      <c r="AG614" s="42"/>
      <c r="AH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  <c r="AF616" s="42"/>
      <c r="AG616" s="42"/>
      <c r="AH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  <c r="AF617" s="42"/>
      <c r="AG617" s="42"/>
      <c r="AH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  <c r="AF618" s="42"/>
      <c r="AG618" s="42"/>
      <c r="AH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  <c r="AF619" s="42"/>
      <c r="AG619" s="42"/>
      <c r="AH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  <c r="AF620" s="42"/>
      <c r="AG620" s="42"/>
      <c r="AH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  <c r="AF621" s="42"/>
      <c r="AG621" s="42"/>
      <c r="AH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  <c r="AF622" s="42"/>
      <c r="AG622" s="42"/>
      <c r="AH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  <c r="AF623" s="42"/>
      <c r="AG623" s="42"/>
      <c r="AH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  <c r="AF624" s="42"/>
      <c r="AG624" s="42"/>
      <c r="AH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  <c r="AF625" s="42"/>
      <c r="AG625" s="42"/>
      <c r="AH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  <c r="AF626" s="42"/>
      <c r="AG626" s="42"/>
      <c r="AH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  <c r="AF627" s="42"/>
      <c r="AG627" s="42"/>
      <c r="AH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  <c r="AF628" s="42"/>
      <c r="AG628" s="42"/>
      <c r="AH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  <c r="AF629" s="42"/>
      <c r="AG629" s="42"/>
      <c r="AH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  <c r="AF630" s="42"/>
      <c r="AG630" s="42"/>
      <c r="AH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  <c r="AF631" s="42"/>
      <c r="AG631" s="42"/>
      <c r="AH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  <c r="AF632" s="42"/>
      <c r="AG632" s="42"/>
      <c r="AH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  <c r="AF634" s="42"/>
      <c r="AG634" s="42"/>
      <c r="AH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  <c r="AF635" s="42"/>
      <c r="AG635" s="42"/>
      <c r="AH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  <c r="AF637" s="42"/>
      <c r="AG637" s="42"/>
      <c r="AH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  <c r="AF638" s="42"/>
      <c r="AG638" s="42"/>
      <c r="AH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  <c r="AF639" s="42"/>
      <c r="AG639" s="42"/>
      <c r="AH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  <c r="AF640" s="42"/>
      <c r="AG640" s="42"/>
      <c r="AH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  <c r="AF641" s="42"/>
      <c r="AG641" s="42"/>
      <c r="AH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  <c r="AF642" s="42"/>
      <c r="AG642" s="42"/>
      <c r="AH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  <c r="AF643" s="42"/>
      <c r="AG643" s="42"/>
      <c r="AH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  <c r="AF644" s="42"/>
      <c r="AG644" s="42"/>
      <c r="AH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  <c r="AF645" s="42"/>
      <c r="AG645" s="42"/>
      <c r="AH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  <c r="AF646" s="42"/>
      <c r="AG646" s="42"/>
      <c r="AH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  <c r="AF647" s="42"/>
      <c r="AG647" s="42"/>
      <c r="AH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  <c r="AF648" s="42"/>
      <c r="AG648" s="42"/>
      <c r="AH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  <c r="AF649" s="42"/>
      <c r="AG649" s="42"/>
      <c r="AH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  <c r="AF650" s="42"/>
      <c r="AG650" s="42"/>
      <c r="AH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  <c r="AF651" s="42"/>
      <c r="AG651" s="42"/>
      <c r="AH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  <c r="AF652" s="42"/>
      <c r="AG652" s="42"/>
      <c r="AH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  <c r="AF653" s="42"/>
      <c r="AG653" s="42"/>
      <c r="AH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  <c r="AF654" s="42"/>
      <c r="AG654" s="42"/>
      <c r="AH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  <c r="AF655" s="42"/>
      <c r="AG655" s="42"/>
      <c r="AH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  <c r="AF656" s="42"/>
      <c r="AG656" s="42"/>
      <c r="AH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  <c r="AF657" s="42"/>
      <c r="AG657" s="42"/>
      <c r="AH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  <c r="AF658" s="42"/>
      <c r="AG658" s="42"/>
      <c r="AH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  <c r="AF659" s="42"/>
      <c r="AG659" s="42"/>
      <c r="AH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  <c r="AF660" s="42"/>
      <c r="AG660" s="42"/>
      <c r="AH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  <c r="AF661" s="42"/>
      <c r="AG661" s="42"/>
      <c r="AH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  <c r="AF662" s="42"/>
      <c r="AG662" s="42"/>
      <c r="AH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  <c r="AF663" s="42"/>
      <c r="AG663" s="42"/>
      <c r="AH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  <c r="AF664" s="42"/>
      <c r="AG664" s="42"/>
      <c r="AH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  <c r="AF665" s="42"/>
      <c r="AG665" s="42"/>
      <c r="AH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  <c r="AF666" s="42"/>
      <c r="AG666" s="42"/>
      <c r="AH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  <c r="AF667" s="42"/>
      <c r="AG667" s="42"/>
      <c r="AH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  <c r="AF668" s="42"/>
      <c r="AG668" s="42"/>
      <c r="AH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  <c r="AF669" s="42"/>
      <c r="AG669" s="42"/>
      <c r="AH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  <c r="AF670" s="42"/>
      <c r="AG670" s="42"/>
      <c r="AH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  <c r="AF672" s="42"/>
      <c r="AG672" s="42"/>
      <c r="AH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  <c r="AF673" s="42"/>
      <c r="AG673" s="42"/>
      <c r="AH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  <c r="AF675" s="42"/>
      <c r="AG675" s="42"/>
      <c r="AH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  <c r="AF676" s="42"/>
      <c r="AG676" s="42"/>
      <c r="AH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  <c r="AF677" s="42"/>
      <c r="AG677" s="42"/>
      <c r="AH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  <c r="AF678" s="42"/>
      <c r="AG678" s="42"/>
      <c r="AH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  <c r="AF679" s="42"/>
      <c r="AG679" s="42"/>
      <c r="AH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  <c r="AF680" s="42"/>
      <c r="AG680" s="42"/>
      <c r="AH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  <c r="AF681" s="42"/>
      <c r="AG681" s="42"/>
      <c r="AH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  <c r="AF682" s="42"/>
      <c r="AG682" s="42"/>
      <c r="AH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  <c r="AF683" s="42"/>
      <c r="AG683" s="42"/>
      <c r="AH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  <c r="AF684" s="42"/>
      <c r="AG684" s="42"/>
      <c r="AH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  <c r="AF685" s="42"/>
      <c r="AG685" s="42"/>
      <c r="AH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  <c r="AF686" s="42"/>
      <c r="AG686" s="42"/>
      <c r="AH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  <c r="AF687" s="42"/>
      <c r="AG687" s="42"/>
      <c r="AH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  <c r="AF688" s="42"/>
      <c r="AG688" s="42"/>
      <c r="AH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  <c r="AF689" s="42"/>
      <c r="AG689" s="42"/>
      <c r="AH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  <c r="AF690" s="42"/>
      <c r="AG690" s="42"/>
      <c r="AH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  <c r="AF691" s="42"/>
      <c r="AG691" s="42"/>
      <c r="AH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  <c r="AF692" s="42"/>
      <c r="AG692" s="42"/>
      <c r="AH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  <c r="AF693" s="42"/>
      <c r="AG693" s="42"/>
      <c r="AH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  <c r="AF694" s="42"/>
      <c r="AG694" s="42"/>
      <c r="AH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  <c r="AF695" s="42"/>
      <c r="AG695" s="42"/>
      <c r="AH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  <c r="AF696" s="42"/>
      <c r="AG696" s="42"/>
      <c r="AH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  <c r="AF697" s="42"/>
      <c r="AG697" s="42"/>
      <c r="AH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  <c r="AF698" s="42"/>
      <c r="AG698" s="42"/>
      <c r="AH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  <c r="AF699" s="42"/>
      <c r="AG699" s="42"/>
      <c r="AH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  <c r="AF700" s="42"/>
      <c r="AG700" s="42"/>
      <c r="AH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  <c r="AF701" s="42"/>
      <c r="AG701" s="42"/>
      <c r="AH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  <c r="AF703" s="42"/>
      <c r="AG703" s="42"/>
      <c r="AH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  <c r="AF704" s="42"/>
      <c r="AG704" s="42"/>
      <c r="AH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  <c r="AF705" s="42"/>
      <c r="AG705" s="42"/>
      <c r="AH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  <c r="AF706" s="42"/>
      <c r="AG706" s="42"/>
      <c r="AH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  <c r="AF707" s="42"/>
      <c r="AG707" s="42"/>
      <c r="AH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  <c r="AF708" s="42"/>
      <c r="AG708" s="42"/>
      <c r="AH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  <c r="AF710" s="42"/>
      <c r="AG710" s="42"/>
      <c r="AH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  <c r="AF711" s="42"/>
      <c r="AG711" s="42"/>
      <c r="AH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  <c r="AF713" s="42"/>
      <c r="AG713" s="42"/>
      <c r="AH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  <c r="AF714" s="42"/>
      <c r="AG714" s="42"/>
      <c r="AH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  <c r="AF715" s="42"/>
      <c r="AG715" s="42"/>
      <c r="AH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  <c r="AF716" s="42"/>
      <c r="AG716" s="42"/>
      <c r="AH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  <c r="AF718" s="42"/>
      <c r="AG718" s="42"/>
      <c r="AH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  <c r="AF719" s="42"/>
      <c r="AG719" s="42"/>
      <c r="AH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  <c r="AF720" s="42"/>
      <c r="AG720" s="42"/>
      <c r="AH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  <c r="AF721" s="42"/>
      <c r="AG721" s="42"/>
      <c r="AH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  <c r="AF722" s="42"/>
      <c r="AG722" s="42"/>
      <c r="AH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  <c r="AF723" s="42"/>
      <c r="AG723" s="42"/>
      <c r="AH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  <c r="AF724" s="42"/>
      <c r="AG724" s="42"/>
      <c r="AH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  <c r="AF725" s="42"/>
      <c r="AG725" s="42"/>
      <c r="AH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  <c r="AF726" s="42"/>
      <c r="AG726" s="42"/>
      <c r="AH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  <c r="AF727" s="42"/>
      <c r="AG727" s="42"/>
      <c r="AH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  <c r="AF728" s="42"/>
      <c r="AG728" s="42"/>
      <c r="AH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  <c r="AF729" s="42"/>
      <c r="AG729" s="42"/>
      <c r="AH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  <c r="AF730" s="42"/>
      <c r="AG730" s="42"/>
      <c r="AH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  <c r="AF731" s="42"/>
      <c r="AG731" s="42"/>
      <c r="AH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  <c r="AF732" s="42"/>
      <c r="AG732" s="42"/>
      <c r="AH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  <c r="AF733" s="42"/>
      <c r="AG733" s="42"/>
      <c r="AH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  <c r="AF734" s="42"/>
      <c r="AG734" s="42"/>
      <c r="AH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  <c r="AF735" s="42"/>
      <c r="AG735" s="42"/>
      <c r="AH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  <c r="AF736" s="42"/>
      <c r="AG736" s="42"/>
      <c r="AH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  <c r="AF737" s="42"/>
      <c r="AG737" s="42"/>
      <c r="AH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  <c r="AF738" s="42"/>
      <c r="AG738" s="42"/>
      <c r="AH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  <c r="AF739" s="42"/>
      <c r="AG739" s="42"/>
      <c r="AH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  <c r="AF740" s="42"/>
      <c r="AG740" s="42"/>
      <c r="AH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  <c r="AF741" s="42"/>
      <c r="AG741" s="42"/>
      <c r="AH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  <c r="AF743" s="42"/>
      <c r="AG743" s="42"/>
      <c r="AH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  <c r="AF744" s="42"/>
      <c r="AG744" s="42"/>
      <c r="AH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  <c r="AF745" s="42"/>
      <c r="AG745" s="42"/>
      <c r="AH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  <c r="AF746" s="42"/>
      <c r="AG746" s="42"/>
      <c r="AH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  <c r="AF748" s="42"/>
      <c r="AG748" s="42"/>
      <c r="AH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  <c r="AF749" s="42"/>
      <c r="AG749" s="42"/>
      <c r="AH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  <c r="AF752" s="42"/>
      <c r="AG752" s="42"/>
      <c r="AH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  <c r="AF753" s="42"/>
      <c r="AG753" s="42"/>
      <c r="AH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  <c r="AF754" s="42"/>
      <c r="AG754" s="42"/>
      <c r="AH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  <c r="AF755" s="42"/>
      <c r="AG755" s="42"/>
      <c r="AH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  <c r="AF756" s="42"/>
      <c r="AG756" s="42"/>
      <c r="AH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  <c r="AF757" s="42"/>
      <c r="AG757" s="42"/>
      <c r="AH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  <c r="AF758" s="42"/>
      <c r="AG758" s="42"/>
      <c r="AH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  <c r="AF759" s="42"/>
      <c r="AG759" s="42"/>
      <c r="AH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  <c r="AF760" s="42"/>
      <c r="AG760" s="42"/>
      <c r="AH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  <c r="AF761" s="42"/>
      <c r="AG761" s="42"/>
      <c r="AH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  <c r="AF762" s="42"/>
      <c r="AG762" s="42"/>
      <c r="AH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  <c r="AF763" s="42"/>
      <c r="AG763" s="42"/>
      <c r="AH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  <c r="AF764" s="42"/>
      <c r="AG764" s="42"/>
      <c r="AH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  <c r="AF765" s="42"/>
      <c r="AG765" s="42"/>
      <c r="AH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  <c r="AF766" s="42"/>
      <c r="AG766" s="42"/>
      <c r="AH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  <c r="AF767" s="42"/>
      <c r="AG767" s="42"/>
      <c r="AH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  <c r="AF768" s="42"/>
      <c r="AG768" s="42"/>
      <c r="AH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  <c r="AF769" s="42"/>
      <c r="AG769" s="42"/>
      <c r="AH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  <c r="AF771" s="42"/>
      <c r="AG771" s="42"/>
      <c r="AH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  <c r="AF772" s="42"/>
      <c r="AG772" s="42"/>
      <c r="AH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  <c r="AF773" s="42"/>
      <c r="AG773" s="42"/>
      <c r="AH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  <c r="AF774" s="42"/>
      <c r="AG774" s="42"/>
      <c r="AH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  <c r="AF775" s="42"/>
      <c r="AG775" s="42"/>
      <c r="AH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  <c r="AF776" s="42"/>
      <c r="AG776" s="42"/>
      <c r="AH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  <c r="AF777" s="42"/>
      <c r="AG777" s="42"/>
      <c r="AH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  <c r="AF778" s="42"/>
      <c r="AG778" s="42"/>
      <c r="AH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  <c r="AF779" s="42"/>
      <c r="AG779" s="42"/>
      <c r="AH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  <c r="AF781" s="42"/>
      <c r="AG781" s="42"/>
      <c r="AH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  <c r="AF782" s="42"/>
      <c r="AG782" s="42"/>
      <c r="AH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  <c r="AF783" s="42"/>
      <c r="AG783" s="42"/>
      <c r="AH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  <c r="AF784" s="42"/>
      <c r="AG784" s="42"/>
      <c r="AH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  <c r="AF786" s="42"/>
      <c r="AG786" s="42"/>
      <c r="AH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  <c r="AF787" s="42"/>
      <c r="AG787" s="42"/>
      <c r="AH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  <c r="AF789" s="42"/>
      <c r="AG789" s="42"/>
      <c r="AH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  <c r="AF790" s="42"/>
      <c r="AG790" s="42"/>
      <c r="AH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  <c r="AF791" s="42"/>
      <c r="AG791" s="42"/>
      <c r="AH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  <c r="AF792" s="42"/>
      <c r="AG792" s="42"/>
      <c r="AH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  <c r="AF793" s="42"/>
      <c r="AG793" s="42"/>
      <c r="AH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  <c r="AF794" s="42"/>
      <c r="AG794" s="42"/>
      <c r="AH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  <c r="AF795" s="42"/>
      <c r="AG795" s="42"/>
      <c r="AH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  <c r="AF796" s="42"/>
      <c r="AG796" s="42"/>
      <c r="AH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  <c r="AF797" s="42"/>
      <c r="AG797" s="42"/>
      <c r="AH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  <c r="AF798" s="42"/>
      <c r="AG798" s="42"/>
      <c r="AH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  <c r="AF799" s="42"/>
      <c r="AG799" s="42"/>
      <c r="AH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  <c r="AF801" s="42"/>
      <c r="AG801" s="42"/>
      <c r="AH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  <c r="AF802" s="42"/>
      <c r="AG802" s="42"/>
      <c r="AH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  <c r="AF803" s="42"/>
      <c r="AG803" s="42"/>
      <c r="AH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  <c r="AF804" s="42"/>
      <c r="AG804" s="42"/>
      <c r="AH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  <c r="AF805" s="42"/>
      <c r="AG805" s="42"/>
      <c r="AH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  <c r="AF806" s="42"/>
      <c r="AG806" s="42"/>
      <c r="AH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  <c r="AF807" s="42"/>
      <c r="AG807" s="42"/>
      <c r="AH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  <c r="AF808" s="42"/>
      <c r="AG808" s="42"/>
      <c r="AH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  <c r="AF809" s="42"/>
      <c r="AG809" s="42"/>
      <c r="AH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  <c r="AF810" s="42"/>
      <c r="AG810" s="42"/>
      <c r="AH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  <c r="AF811" s="42"/>
      <c r="AG811" s="42"/>
      <c r="AH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  <c r="AF812" s="42"/>
      <c r="AG812" s="42"/>
      <c r="AH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  <c r="AF813" s="42"/>
      <c r="AG813" s="42"/>
      <c r="AH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  <c r="AF814" s="42"/>
      <c r="AG814" s="42"/>
      <c r="AH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  <c r="AF815" s="42"/>
      <c r="AG815" s="42"/>
      <c r="AH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  <c r="AF816" s="42"/>
      <c r="AG816" s="42"/>
      <c r="AH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  <c r="AF817" s="42"/>
      <c r="AG817" s="42"/>
      <c r="AH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  <c r="AF818" s="42"/>
      <c r="AG818" s="42"/>
      <c r="AH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  <c r="AF819" s="42"/>
      <c r="AG819" s="42"/>
      <c r="AH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  <c r="AF820" s="42"/>
      <c r="AG820" s="42"/>
      <c r="AH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  <c r="AF821" s="42"/>
      <c r="AG821" s="42"/>
      <c r="AH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  <c r="AF822" s="42"/>
      <c r="AG822" s="42"/>
      <c r="AH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  <c r="AF824" s="42"/>
      <c r="AG824" s="42"/>
      <c r="AH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  <c r="AF825" s="42"/>
      <c r="AG825" s="42"/>
      <c r="AH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  <c r="AF827" s="42"/>
      <c r="AG827" s="42"/>
      <c r="AH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  <c r="AF828" s="42"/>
      <c r="AG828" s="42"/>
      <c r="AH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  <c r="AF830" s="42"/>
      <c r="AG830" s="42"/>
      <c r="AH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  <c r="AF831" s="42"/>
      <c r="AG831" s="42"/>
      <c r="AH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  <c r="AF832" s="42"/>
      <c r="AG832" s="42"/>
      <c r="AH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  <c r="AF833" s="42"/>
      <c r="AG833" s="42"/>
      <c r="AH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  <c r="AF834" s="42"/>
      <c r="AG834" s="42"/>
      <c r="AH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  <c r="AF835" s="42"/>
      <c r="AG835" s="42"/>
      <c r="AH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  <c r="AF836" s="42"/>
      <c r="AG836" s="42"/>
      <c r="AH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  <c r="AF837" s="42"/>
      <c r="AG837" s="42"/>
      <c r="AH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  <c r="AF838" s="42"/>
      <c r="AG838" s="42"/>
      <c r="AH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  <c r="AF839" s="42"/>
      <c r="AG839" s="42"/>
      <c r="AH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  <c r="AF840" s="42"/>
      <c r="AG840" s="42"/>
      <c r="AH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  <c r="AF841" s="42"/>
      <c r="AG841" s="42"/>
      <c r="AH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  <c r="AF842" s="42"/>
      <c r="AG842" s="42"/>
      <c r="AH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  <c r="AF843" s="42"/>
      <c r="AG843" s="42"/>
      <c r="AH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  <c r="AF844" s="42"/>
      <c r="AG844" s="42"/>
      <c r="AH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  <c r="AF845" s="42"/>
      <c r="AG845" s="42"/>
      <c r="AH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  <c r="AF846" s="42"/>
      <c r="AG846" s="42"/>
      <c r="AH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  <c r="AF847" s="42"/>
      <c r="AG847" s="42"/>
      <c r="AH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  <c r="AF848" s="42"/>
      <c r="AG848" s="42"/>
      <c r="AH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  <c r="AF849" s="42"/>
      <c r="AG849" s="42"/>
      <c r="AH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  <c r="AF850" s="42"/>
      <c r="AG850" s="42"/>
      <c r="AH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  <c r="AF851" s="42"/>
      <c r="AG851" s="42"/>
      <c r="AH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  <c r="AF852" s="42"/>
      <c r="AG852" s="42"/>
      <c r="AH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  <c r="AF853" s="42"/>
      <c r="AG853" s="42"/>
      <c r="AH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  <c r="AF854" s="42"/>
      <c r="AG854" s="42"/>
      <c r="AH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  <c r="AF855" s="42"/>
      <c r="AG855" s="42"/>
      <c r="AH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  <c r="AF856" s="42"/>
      <c r="AG856" s="42"/>
      <c r="AH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  <c r="AF857" s="42"/>
      <c r="AG857" s="42"/>
      <c r="AH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  <c r="AF858" s="42"/>
      <c r="AG858" s="42"/>
      <c r="AH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  <c r="AF859" s="42"/>
      <c r="AG859" s="42"/>
      <c r="AH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  <c r="AF860" s="42"/>
      <c r="AG860" s="42"/>
      <c r="AH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  <c r="AF862" s="42"/>
      <c r="AG862" s="42"/>
      <c r="AH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  <c r="AF863" s="42"/>
      <c r="AG863" s="42"/>
      <c r="AH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  <c r="AF865" s="42"/>
      <c r="AG865" s="42"/>
      <c r="AH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  <c r="AF866" s="42"/>
      <c r="AG866" s="42"/>
      <c r="AH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  <c r="AF867" s="42"/>
      <c r="AG867" s="42"/>
      <c r="AH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  <c r="AF868" s="42"/>
      <c r="AG868" s="42"/>
      <c r="AH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  <c r="AF869" s="42"/>
      <c r="AG869" s="42"/>
      <c r="AH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  <c r="AF870" s="42"/>
      <c r="AG870" s="42"/>
      <c r="AH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  <c r="AF871" s="42"/>
      <c r="AG871" s="42"/>
      <c r="AH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  <c r="AF872" s="42"/>
      <c r="AG872" s="42"/>
      <c r="AH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  <c r="AF873" s="42"/>
      <c r="AG873" s="42"/>
      <c r="AH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  <c r="AF874" s="42"/>
      <c r="AG874" s="42"/>
      <c r="AH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  <c r="AF875" s="42"/>
      <c r="AG875" s="42"/>
      <c r="AH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  <c r="AF876" s="42"/>
      <c r="AG876" s="42"/>
      <c r="AH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  <c r="AF877" s="42"/>
      <c r="AG877" s="42"/>
      <c r="AH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  <c r="AF878" s="42"/>
      <c r="AG878" s="42"/>
      <c r="AH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  <c r="AF879" s="42"/>
      <c r="AG879" s="42"/>
      <c r="AH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  <c r="AF880" s="42"/>
      <c r="AG880" s="42"/>
      <c r="AH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  <c r="AF882" s="42"/>
      <c r="AG882" s="42"/>
      <c r="AH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  <c r="AF883" s="42"/>
      <c r="AG883" s="42"/>
      <c r="AH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  <c r="AF884" s="42"/>
      <c r="AG884" s="42"/>
      <c r="AH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  <c r="AF885" s="42"/>
      <c r="AG885" s="42"/>
      <c r="AH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  <c r="AF886" s="42"/>
      <c r="AG886" s="42"/>
      <c r="AH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  <c r="AF887" s="42"/>
      <c r="AG887" s="42"/>
      <c r="AH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  <c r="AF888" s="42"/>
      <c r="AG888" s="42"/>
      <c r="AH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  <c r="AF889" s="42"/>
      <c r="AG889" s="42"/>
      <c r="AH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  <c r="AF890" s="42"/>
      <c r="AG890" s="42"/>
      <c r="AH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  <c r="AF892" s="42"/>
      <c r="AG892" s="42"/>
      <c r="AH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  <c r="AF893" s="42"/>
      <c r="AG893" s="42"/>
      <c r="AH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  <c r="AF894" s="42"/>
      <c r="AG894" s="42"/>
      <c r="AH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  <c r="AF895" s="42"/>
      <c r="AG895" s="42"/>
      <c r="AH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  <c r="AF896" s="42"/>
      <c r="AG896" s="42"/>
      <c r="AH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  <c r="AF897" s="42"/>
      <c r="AG897" s="42"/>
      <c r="AH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  <c r="AF898" s="42"/>
      <c r="AG898" s="42"/>
      <c r="AH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  <c r="AF900" s="42"/>
      <c r="AG900" s="42"/>
      <c r="AH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  <c r="AF901" s="42"/>
      <c r="AG901" s="42"/>
      <c r="AH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  <c r="AF903" s="42"/>
      <c r="AG903" s="42"/>
      <c r="AH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  <c r="AF904" s="42"/>
      <c r="AG904" s="42"/>
      <c r="AH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  <c r="AF905" s="42"/>
      <c r="AG905" s="42"/>
      <c r="AH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  <c r="AF906" s="42"/>
      <c r="AG906" s="42"/>
      <c r="AH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  <c r="AF907" s="42"/>
      <c r="AG907" s="42"/>
      <c r="AH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  <c r="AF908" s="42"/>
      <c r="AG908" s="42"/>
      <c r="AH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  <c r="AF909" s="42"/>
      <c r="AG909" s="42"/>
      <c r="AH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  <c r="AF910" s="42"/>
      <c r="AG910" s="42"/>
      <c r="AH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  <c r="AF912" s="42"/>
      <c r="AG912" s="42"/>
      <c r="AH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  <c r="AF913" s="42"/>
      <c r="AG913" s="42"/>
      <c r="AH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  <c r="AF914" s="42"/>
      <c r="AG914" s="42"/>
      <c r="AH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  <c r="AF915" s="42"/>
      <c r="AG915" s="42"/>
      <c r="AH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  <c r="AF916" s="42"/>
      <c r="AG916" s="42"/>
      <c r="AH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  <c r="AF917" s="42"/>
      <c r="AG917" s="42"/>
      <c r="AH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  <c r="AF918" s="42"/>
      <c r="AG918" s="42"/>
      <c r="AH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  <c r="AF919" s="42"/>
      <c r="AG919" s="42"/>
      <c r="AH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  <c r="AF921" s="42"/>
      <c r="AG921" s="42"/>
      <c r="AH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  <c r="AF922" s="42"/>
      <c r="AG922" s="42"/>
      <c r="AH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  <c r="AF923" s="42"/>
      <c r="AG923" s="42"/>
      <c r="AH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  <c r="AF924" s="42"/>
      <c r="AG924" s="42"/>
      <c r="AH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  <c r="AF925" s="42"/>
      <c r="AG925" s="42"/>
      <c r="AH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  <c r="AF926" s="42"/>
      <c r="AG926" s="42"/>
      <c r="AH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  <c r="AF927" s="42"/>
      <c r="AG927" s="42"/>
      <c r="AH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  <c r="AF928" s="42"/>
      <c r="AG928" s="42"/>
      <c r="AH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  <c r="AF929" s="42"/>
      <c r="AG929" s="42"/>
      <c r="AH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  <c r="AF930" s="42"/>
      <c r="AG930" s="42"/>
      <c r="AH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  <c r="AF931" s="42"/>
      <c r="AG931" s="42"/>
      <c r="AH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  <c r="AF932" s="42"/>
      <c r="AG932" s="42"/>
      <c r="AH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  <c r="AF933" s="42"/>
      <c r="AG933" s="42"/>
      <c r="AH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  <c r="AF934" s="42"/>
      <c r="AG934" s="42"/>
      <c r="AH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  <c r="AF935" s="42"/>
      <c r="AG935" s="42"/>
      <c r="AH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  <c r="AF936" s="42"/>
      <c r="AG936" s="42"/>
      <c r="AH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  <c r="AF938" s="42"/>
      <c r="AG938" s="42"/>
      <c r="AH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  <c r="AF941" s="42"/>
      <c r="AG941" s="42"/>
      <c r="AH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  <c r="AF942" s="42"/>
      <c r="AG942" s="42"/>
      <c r="AH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  <c r="AF943" s="42"/>
      <c r="AG943" s="42"/>
      <c r="AH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  <c r="AF944" s="42"/>
      <c r="AG944" s="42"/>
      <c r="AH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  <c r="AF945" s="42"/>
      <c r="AG945" s="42"/>
      <c r="AH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  <c r="AF946" s="42"/>
      <c r="AG946" s="42"/>
      <c r="AH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  <c r="AF947" s="42"/>
      <c r="AG947" s="42"/>
      <c r="AH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  <c r="AF948" s="42"/>
      <c r="AG948" s="42"/>
      <c r="AH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  <c r="AF949" s="42"/>
      <c r="AG949" s="42"/>
      <c r="AH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  <c r="AF950" s="42"/>
      <c r="AG950" s="42"/>
      <c r="AH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  <c r="AF951" s="42"/>
      <c r="AG951" s="42"/>
      <c r="AH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  <c r="AF952" s="42"/>
      <c r="AG952" s="42"/>
      <c r="AH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  <c r="AF953" s="42"/>
      <c r="AG953" s="42"/>
      <c r="AH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  <c r="AF954" s="42"/>
      <c r="AG954" s="42"/>
      <c r="AH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  <c r="AF955" s="42"/>
      <c r="AG955" s="42"/>
      <c r="AH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  <c r="AF956" s="42"/>
      <c r="AG956" s="42"/>
      <c r="AH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  <c r="AF957" s="42"/>
      <c r="AG957" s="42"/>
      <c r="AH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  <c r="AF958" s="42"/>
      <c r="AG958" s="42"/>
      <c r="AH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  <c r="AF960" s="42"/>
      <c r="AG960" s="42"/>
      <c r="AH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  <c r="AF961" s="42"/>
      <c r="AG961" s="42"/>
      <c r="AH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  <c r="AF962" s="42"/>
      <c r="AG962" s="42"/>
      <c r="AH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  <c r="AF963" s="42"/>
      <c r="AG963" s="42"/>
      <c r="AH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  <c r="AF964" s="42"/>
      <c r="AG964" s="42"/>
      <c r="AH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  <c r="AF965" s="42"/>
      <c r="AG965" s="42"/>
      <c r="AH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  <c r="AF966" s="42"/>
      <c r="AG966" s="42"/>
      <c r="AH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  <c r="AF967" s="42"/>
      <c r="AG967" s="42"/>
      <c r="AH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  <c r="AF968" s="42"/>
      <c r="AG968" s="42"/>
      <c r="AH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  <c r="AF969" s="42"/>
      <c r="AG969" s="42"/>
      <c r="AH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  <c r="AF970" s="42"/>
      <c r="AG970" s="42"/>
      <c r="AH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  <c r="AF971" s="42"/>
      <c r="AG971" s="42"/>
      <c r="AH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  <c r="AF972" s="42"/>
      <c r="AG972" s="42"/>
      <c r="AH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  <c r="AF973" s="42"/>
      <c r="AG973" s="42"/>
      <c r="AH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  <c r="AF974" s="42"/>
      <c r="AG974" s="42"/>
      <c r="AH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  <c r="AF976" s="42"/>
      <c r="AG976" s="42"/>
      <c r="AH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  <c r="AF977" s="42"/>
      <c r="AG977" s="42"/>
      <c r="AH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  <c r="AF979" s="42"/>
      <c r="AG979" s="42"/>
      <c r="AH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  <c r="AF980" s="42"/>
      <c r="AG980" s="42"/>
      <c r="AH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  <c r="AF981" s="42"/>
      <c r="AG981" s="42"/>
      <c r="AH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  <c r="AF982" s="42"/>
      <c r="AG982" s="42"/>
      <c r="AH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  <c r="AF983" s="42"/>
      <c r="AG983" s="42"/>
      <c r="AH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  <c r="AF984" s="42"/>
      <c r="AG984" s="42"/>
      <c r="AH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  <c r="AF986" s="42"/>
      <c r="AG986" s="42"/>
      <c r="AH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  <c r="AF987" s="42"/>
      <c r="AG987" s="42"/>
      <c r="AH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  <c r="AF988" s="42"/>
      <c r="AG988" s="42"/>
      <c r="AH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  <c r="AF989" s="42"/>
      <c r="AG989" s="42"/>
      <c r="AH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  <c r="AF990" s="42"/>
      <c r="AG990" s="42"/>
      <c r="AH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  <c r="AF991" s="42"/>
      <c r="AG991" s="42"/>
      <c r="AH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  <c r="AF992" s="42"/>
      <c r="AG992" s="42"/>
      <c r="AH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  <c r="AF993" s="42"/>
      <c r="AG993" s="42"/>
      <c r="AH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  <c r="AF994" s="42"/>
      <c r="AG994" s="42"/>
      <c r="AH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  <c r="AF995" s="42"/>
      <c r="AG995" s="42"/>
      <c r="AH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  <c r="AF996" s="42"/>
      <c r="AG996" s="42"/>
      <c r="AH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  <c r="AF997" s="42"/>
      <c r="AG997" s="42"/>
      <c r="AH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  <c r="AF998" s="42"/>
      <c r="AG998" s="42"/>
      <c r="AH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  <c r="AF999" s="42"/>
      <c r="AG999" s="42"/>
      <c r="AH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  <c r="AF1000" s="42"/>
      <c r="AG1000" s="42"/>
      <c r="AH1000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1.63"/>
    <col customWidth="1" min="3" max="3" width="10.38"/>
    <col customWidth="1" min="4" max="4" width="11.5"/>
    <col customWidth="1" min="5" max="5" width="13.38"/>
    <col customWidth="1" min="6" max="6" width="13.75"/>
    <col customWidth="1" min="7" max="7" width="15.0"/>
    <col customWidth="1" min="8" max="8" width="12.13"/>
    <col customWidth="1" min="9" max="9" width="11.25"/>
    <col customWidth="1" min="10" max="11" width="13.88"/>
    <col customWidth="1" min="12" max="12" width="17.38"/>
    <col customWidth="1" min="13" max="13" width="42.38"/>
    <col customWidth="1" min="14" max="28" width="17.38"/>
  </cols>
  <sheetData>
    <row r="1">
      <c r="A1" s="44" t="s">
        <v>20</v>
      </c>
      <c r="B1" s="44" t="s">
        <v>21</v>
      </c>
      <c r="C1" s="44" t="s">
        <v>10</v>
      </c>
      <c r="D1" s="44" t="s">
        <v>22</v>
      </c>
      <c r="E1" s="44" t="s">
        <v>23</v>
      </c>
      <c r="F1" s="44" t="s">
        <v>24</v>
      </c>
      <c r="G1" s="44" t="s">
        <v>25</v>
      </c>
      <c r="H1" s="44" t="s">
        <v>26</v>
      </c>
      <c r="I1" s="44"/>
      <c r="J1" s="44"/>
      <c r="K1" s="44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</row>
    <row r="2">
      <c r="A2" s="46">
        <v>1.0</v>
      </c>
      <c r="B2" s="47"/>
      <c r="C2" s="47">
        <v>1000.0</v>
      </c>
      <c r="D2" s="47">
        <v>500.0</v>
      </c>
      <c r="E2" s="47"/>
      <c r="F2" s="48"/>
      <c r="G2" s="48"/>
      <c r="H2" s="47"/>
      <c r="I2" s="47"/>
      <c r="J2" s="48"/>
      <c r="K2" s="48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</row>
    <row r="3">
      <c r="A3" s="46">
        <v>2.0</v>
      </c>
      <c r="B3" s="47"/>
      <c r="C3" s="48"/>
      <c r="D3" s="47"/>
      <c r="E3" s="47"/>
      <c r="F3" s="47"/>
      <c r="G3" s="48"/>
      <c r="H3" s="47">
        <v>500.0</v>
      </c>
      <c r="I3" s="48"/>
      <c r="J3" s="48"/>
      <c r="K3" s="48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</row>
    <row r="4">
      <c r="A4" s="46">
        <v>3.0</v>
      </c>
      <c r="B4" s="48"/>
      <c r="C4" s="47"/>
      <c r="D4" s="48"/>
      <c r="E4" s="47"/>
      <c r="F4" s="47"/>
      <c r="G4" s="47"/>
      <c r="H4" s="48"/>
      <c r="I4" s="48"/>
      <c r="J4" s="48"/>
      <c r="K4" s="48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</row>
    <row r="5">
      <c r="A5" s="46">
        <v>4.0</v>
      </c>
      <c r="B5" s="48"/>
      <c r="C5" s="48"/>
      <c r="D5" s="48"/>
      <c r="E5" s="47"/>
      <c r="F5" s="48"/>
      <c r="G5" s="47"/>
      <c r="H5" s="48"/>
      <c r="I5" s="48"/>
      <c r="J5" s="48"/>
      <c r="K5" s="48"/>
      <c r="L5" s="45"/>
      <c r="M5" s="49" t="s">
        <v>27</v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</row>
    <row r="6">
      <c r="A6" s="46">
        <v>5.0</v>
      </c>
      <c r="B6" s="48"/>
      <c r="C6" s="48"/>
      <c r="D6" s="48"/>
      <c r="E6" s="48"/>
      <c r="F6" s="47">
        <v>1000.0</v>
      </c>
      <c r="G6" s="48"/>
      <c r="H6" s="47"/>
      <c r="I6" s="48"/>
      <c r="J6" s="48"/>
      <c r="K6" s="47"/>
      <c r="L6" s="45"/>
      <c r="M6" s="49" t="s">
        <v>28</v>
      </c>
      <c r="N6" s="45">
        <f>L33</f>
        <v>11190</v>
      </c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</row>
    <row r="7">
      <c r="A7" s="46">
        <v>6.0</v>
      </c>
      <c r="B7" s="48"/>
      <c r="C7" s="47"/>
      <c r="D7" s="47"/>
      <c r="E7" s="48"/>
      <c r="F7" s="48"/>
      <c r="G7" s="48"/>
      <c r="H7" s="48"/>
      <c r="I7" s="48"/>
      <c r="J7" s="48"/>
      <c r="K7" s="48"/>
      <c r="L7" s="45"/>
      <c r="M7" s="49" t="s">
        <v>3</v>
      </c>
      <c r="N7" s="45">
        <f>'Meal Costing'!D34</f>
        <v>6578</v>
      </c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</row>
    <row r="8">
      <c r="A8" s="46">
        <v>7.0</v>
      </c>
      <c r="B8" s="48"/>
      <c r="C8" s="47">
        <v>-100.0</v>
      </c>
      <c r="D8" s="47"/>
      <c r="E8" s="48"/>
      <c r="F8" s="48"/>
      <c r="G8" s="48"/>
      <c r="H8" s="48"/>
      <c r="I8" s="48"/>
      <c r="J8" s="48"/>
      <c r="K8" s="48"/>
      <c r="L8" s="45"/>
      <c r="M8" s="49" t="s">
        <v>29</v>
      </c>
      <c r="N8" s="45">
        <f>'Others Costing'!D33</f>
        <v>0</v>
      </c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</row>
    <row r="9">
      <c r="A9" s="46">
        <v>8.0</v>
      </c>
      <c r="B9" s="47">
        <v>1000.0</v>
      </c>
      <c r="C9" s="48"/>
      <c r="D9" s="47"/>
      <c r="E9" s="48"/>
      <c r="F9" s="47"/>
      <c r="G9" s="47"/>
      <c r="H9" s="48"/>
      <c r="I9" s="48"/>
      <c r="J9" s="48"/>
      <c r="K9" s="48"/>
      <c r="L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</row>
    <row r="10">
      <c r="A10" s="46">
        <v>9.0</v>
      </c>
      <c r="B10" s="48"/>
      <c r="C10" s="48"/>
      <c r="D10" s="47">
        <v>500.0</v>
      </c>
      <c r="E10" s="48"/>
      <c r="F10" s="48"/>
      <c r="G10" s="47">
        <v>500.0</v>
      </c>
      <c r="H10" s="48"/>
      <c r="I10" s="48"/>
      <c r="J10" s="48"/>
      <c r="K10" s="48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>
      <c r="A11" s="46">
        <v>10.0</v>
      </c>
      <c r="B11" s="48"/>
      <c r="C11" s="48"/>
      <c r="D11" s="48"/>
      <c r="E11" s="47"/>
      <c r="F11" s="48"/>
      <c r="G11" s="48"/>
      <c r="H11" s="48"/>
      <c r="I11" s="48"/>
      <c r="J11" s="48"/>
      <c r="K11" s="48"/>
      <c r="L11" s="45"/>
      <c r="M11" s="49" t="s">
        <v>30</v>
      </c>
      <c r="N11" s="45">
        <f>N6-N7-N8</f>
        <v>4612</v>
      </c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</row>
    <row r="12">
      <c r="A12" s="46">
        <v>11.0</v>
      </c>
      <c r="B12" s="48"/>
      <c r="C12" s="47">
        <v>500.0</v>
      </c>
      <c r="D12" s="48"/>
      <c r="E12" s="48"/>
      <c r="F12" s="48"/>
      <c r="G12" s="48"/>
      <c r="H12" s="48"/>
      <c r="I12" s="47"/>
      <c r="J12" s="48"/>
      <c r="K12" s="48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>
      <c r="A13" s="46">
        <v>12.0</v>
      </c>
      <c r="B13" s="48"/>
      <c r="C13" s="48"/>
      <c r="D13" s="47">
        <v>700.0</v>
      </c>
      <c r="E13" s="48"/>
      <c r="F13" s="47"/>
      <c r="G13" s="48"/>
      <c r="H13" s="47"/>
      <c r="I13" s="47"/>
      <c r="J13" s="47"/>
      <c r="K13" s="47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>
      <c r="A14" s="46">
        <v>13.0</v>
      </c>
      <c r="B14" s="48"/>
      <c r="C14" s="48"/>
      <c r="D14" s="47"/>
      <c r="E14" s="47"/>
      <c r="F14" s="48"/>
      <c r="G14" s="47"/>
      <c r="H14" s="47">
        <v>150.0</v>
      </c>
      <c r="I14" s="48"/>
      <c r="J14" s="48"/>
      <c r="K14" s="47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>
      <c r="A15" s="46">
        <v>14.0</v>
      </c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>
      <c r="A16" s="46">
        <v>15.0</v>
      </c>
      <c r="B16" s="48"/>
      <c r="C16" s="48"/>
      <c r="D16" s="48"/>
      <c r="E16" s="47">
        <v>1330.0</v>
      </c>
      <c r="F16" s="48"/>
      <c r="G16" s="48"/>
      <c r="H16" s="48"/>
      <c r="I16" s="48"/>
      <c r="J16" s="48"/>
      <c r="K16" s="48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</row>
    <row r="17">
      <c r="A17" s="46">
        <v>16.0</v>
      </c>
      <c r="B17" s="48"/>
      <c r="C17" s="48"/>
      <c r="D17" s="48"/>
      <c r="E17" s="48"/>
      <c r="F17" s="48"/>
      <c r="G17" s="47">
        <v>500.0</v>
      </c>
      <c r="H17" s="48"/>
      <c r="I17" s="48"/>
      <c r="J17" s="47"/>
      <c r="K17" s="48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</row>
    <row r="18">
      <c r="A18" s="46">
        <v>17.0</v>
      </c>
      <c r="B18" s="48"/>
      <c r="C18" s="48"/>
      <c r="D18" s="47">
        <v>300.0</v>
      </c>
      <c r="E18" s="48"/>
      <c r="F18" s="48"/>
      <c r="G18" s="48"/>
      <c r="H18" s="47"/>
      <c r="I18" s="47"/>
      <c r="J18" s="48"/>
      <c r="K18" s="48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</row>
    <row r="19">
      <c r="A19" s="46">
        <v>18.0</v>
      </c>
      <c r="B19" s="48"/>
      <c r="C19" s="48"/>
      <c r="D19" s="48"/>
      <c r="E19" s="48"/>
      <c r="F19" s="48"/>
      <c r="G19" s="47">
        <v>-50.0</v>
      </c>
      <c r="H19" s="48"/>
      <c r="I19" s="48"/>
      <c r="J19" s="48"/>
      <c r="K19" s="47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</row>
    <row r="20">
      <c r="A20" s="46">
        <v>19.0</v>
      </c>
      <c r="B20" s="48"/>
      <c r="C20" s="48"/>
      <c r="D20" s="48"/>
      <c r="E20" s="48"/>
      <c r="F20" s="47"/>
      <c r="G20" s="48"/>
      <c r="H20" s="48"/>
      <c r="I20" s="48"/>
      <c r="J20" s="47"/>
      <c r="K20" s="48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</row>
    <row r="21">
      <c r="A21" s="46">
        <v>20.0</v>
      </c>
      <c r="B21" s="47">
        <v>700.0</v>
      </c>
      <c r="C21" s="48"/>
      <c r="D21" s="47">
        <v>500.0</v>
      </c>
      <c r="E21" s="48"/>
      <c r="F21" s="47">
        <v>1000.0</v>
      </c>
      <c r="G21" s="47"/>
      <c r="H21" s="48"/>
      <c r="I21" s="48"/>
      <c r="J21" s="48"/>
      <c r="K21" s="48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</row>
    <row r="22">
      <c r="A22" s="46">
        <v>21.0</v>
      </c>
      <c r="B22" s="47"/>
      <c r="C22" s="48"/>
      <c r="D22" s="48"/>
      <c r="E22" s="47"/>
      <c r="F22" s="48"/>
      <c r="G22" s="48"/>
      <c r="H22" s="48"/>
      <c r="I22" s="48"/>
      <c r="J22" s="48"/>
      <c r="K22" s="48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</row>
    <row r="23">
      <c r="A23" s="46">
        <v>22.0</v>
      </c>
      <c r="B23" s="47"/>
      <c r="C23" s="47"/>
      <c r="D23" s="48"/>
      <c r="E23" s="48"/>
      <c r="F23" s="48"/>
      <c r="G23" s="48"/>
      <c r="H23" s="48"/>
      <c r="I23" s="47"/>
      <c r="J23" s="47"/>
      <c r="K23" s="47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</row>
    <row r="24">
      <c r="A24" s="46">
        <v>23.0</v>
      </c>
      <c r="B24" s="48"/>
      <c r="C24" s="48"/>
      <c r="D24" s="48"/>
      <c r="E24" s="48"/>
      <c r="F24" s="47"/>
      <c r="G24" s="48"/>
      <c r="H24" s="47"/>
      <c r="I24" s="47"/>
      <c r="J24" s="48"/>
      <c r="K24" s="48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</row>
    <row r="25">
      <c r="A25" s="46">
        <v>24.0</v>
      </c>
      <c r="B25" s="47"/>
      <c r="C25" s="47"/>
      <c r="D25" s="48"/>
      <c r="E25" s="48"/>
      <c r="F25" s="47"/>
      <c r="G25" s="48"/>
      <c r="H25" s="48"/>
      <c r="I25" s="48"/>
      <c r="J25" s="48"/>
      <c r="K25" s="48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</row>
    <row r="26">
      <c r="A26" s="46">
        <v>25.0</v>
      </c>
      <c r="B26" s="48"/>
      <c r="C26" s="48"/>
      <c r="D26" s="48"/>
      <c r="E26" s="48"/>
      <c r="F26" s="47"/>
      <c r="G26" s="48"/>
      <c r="H26" s="47"/>
      <c r="I26" s="48"/>
      <c r="J26" s="48"/>
      <c r="K26" s="48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</row>
    <row r="27">
      <c r="A27" s="46">
        <v>26.0</v>
      </c>
      <c r="B27" s="48"/>
      <c r="C27" s="47"/>
      <c r="D27" s="48"/>
      <c r="E27" s="48"/>
      <c r="F27" s="48"/>
      <c r="G27" s="48"/>
      <c r="H27" s="47"/>
      <c r="I27" s="48"/>
      <c r="J27" s="47"/>
      <c r="K27" s="48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46">
        <v>27.0</v>
      </c>
      <c r="B28" s="48"/>
      <c r="C28" s="47"/>
      <c r="D28" s="47"/>
      <c r="E28" s="47">
        <v>705.0</v>
      </c>
      <c r="F28" s="48"/>
      <c r="G28" s="48"/>
      <c r="H28" s="48"/>
      <c r="I28" s="48"/>
      <c r="J28" s="48"/>
      <c r="K28" s="47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>
        <v>28.0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46">
        <v>29.0</v>
      </c>
      <c r="B30" s="47"/>
      <c r="C30" s="47"/>
      <c r="D30" s="48"/>
      <c r="E30" s="48"/>
      <c r="F30" s="48"/>
      <c r="G30" s="48"/>
      <c r="H30" s="48"/>
      <c r="I30" s="48"/>
      <c r="J30" s="48"/>
      <c r="K30" s="48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46">
        <v>30.0</v>
      </c>
      <c r="B31" s="48"/>
      <c r="C31" s="47">
        <v>100.0</v>
      </c>
      <c r="D31" s="47">
        <v>-145.0</v>
      </c>
      <c r="E31" s="48"/>
      <c r="F31" s="48"/>
      <c r="G31" s="48"/>
      <c r="H31" s="48"/>
      <c r="I31" s="48"/>
      <c r="J31" s="48"/>
      <c r="K31" s="48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46">
        <v>31.0</v>
      </c>
      <c r="B32" s="48"/>
      <c r="C32" s="48"/>
      <c r="D32" s="48"/>
      <c r="E32" s="48"/>
      <c r="F32" s="47"/>
      <c r="G32" s="48"/>
      <c r="H32" s="48"/>
      <c r="I32" s="47"/>
      <c r="J32" s="48"/>
      <c r="K32" s="48"/>
      <c r="L32" s="50" t="s">
        <v>28</v>
      </c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</row>
    <row r="33">
      <c r="A33" s="51" t="s">
        <v>15</v>
      </c>
      <c r="B33" s="52">
        <f t="shared" ref="B33:K33" si="1">sum(B2:B32)</f>
        <v>1700</v>
      </c>
      <c r="C33" s="52">
        <f t="shared" si="1"/>
        <v>1500</v>
      </c>
      <c r="D33" s="52">
        <f t="shared" si="1"/>
        <v>2355</v>
      </c>
      <c r="E33" s="52">
        <f t="shared" si="1"/>
        <v>2035</v>
      </c>
      <c r="F33" s="52">
        <f t="shared" si="1"/>
        <v>2000</v>
      </c>
      <c r="G33" s="52">
        <f t="shared" si="1"/>
        <v>950</v>
      </c>
      <c r="H33" s="52">
        <f t="shared" si="1"/>
        <v>650</v>
      </c>
      <c r="I33" s="52">
        <f t="shared" si="1"/>
        <v>0</v>
      </c>
      <c r="J33" s="52">
        <f t="shared" si="1"/>
        <v>0</v>
      </c>
      <c r="K33" s="52">
        <f t="shared" si="1"/>
        <v>0</v>
      </c>
      <c r="L33" s="53">
        <f>sum(B33+C33+D33+E33+F33+G33+H33+I33+J33+K33)</f>
        <v>11190</v>
      </c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</row>
    <row r="34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</row>
    <row r="35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</row>
    <row r="37">
      <c r="A37" s="49" t="s">
        <v>19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</row>
    <row r="41">
      <c r="A41" s="45"/>
      <c r="B41" s="45"/>
      <c r="C41" s="49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  <c r="AB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  <c r="AB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  <c r="AB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  <c r="AB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  <c r="AB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  <c r="AB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  <c r="AB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  <c r="AB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  <c r="AB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  <c r="AB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  <c r="AB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  <c r="AB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  <c r="AB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  <c r="AB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  <c r="AB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  <c r="AB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  <c r="AB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  <c r="AB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  <c r="AB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  <c r="AB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  <c r="AB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  <c r="AB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  <c r="AB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  <c r="AB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  <c r="AB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  <c r="AB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  <c r="AB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  <c r="AB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  <c r="AB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  <c r="AB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  <c r="AB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  <c r="AB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  <c r="AB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  <c r="AB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  <c r="AB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  <c r="AB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  <c r="AB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  <c r="AB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  <c r="AB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  <c r="AB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  <c r="AB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  <c r="AB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  <c r="AB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  <c r="AB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  <c r="AB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  <c r="AB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  <c r="AB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  <c r="AB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  <c r="AB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  <c r="AB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  <c r="AB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  <c r="AB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  <c r="AB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  <c r="AB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  <c r="AB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  <c r="AB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  <c r="AB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  <c r="AB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  <c r="AB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  <c r="AB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  <c r="AB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  <c r="AB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  <c r="AB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  <c r="AB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  <c r="AB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  <c r="AB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  <c r="AB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  <c r="AB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  <c r="AB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  <c r="AB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  <c r="AB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  <c r="AB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  <c r="AB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  <c r="AB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  <c r="AB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  <c r="AB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  <c r="AB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  <c r="AB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  <c r="AB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  <c r="AB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  <c r="AB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  <c r="AB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  <c r="AB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  <c r="AB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  <c r="AA406" s="45"/>
      <c r="AB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  <c r="AA410" s="45"/>
      <c r="AB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  <c r="AA412" s="45"/>
      <c r="AB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  <c r="AA414" s="45"/>
      <c r="AB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  <c r="AA416" s="45"/>
      <c r="AB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  <c r="AA418" s="45"/>
      <c r="AB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  <c r="AA420" s="45"/>
      <c r="AB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  <c r="AA422" s="45"/>
      <c r="AB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  <c r="AA426" s="45"/>
      <c r="AB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  <c r="AA428" s="45"/>
      <c r="AB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  <c r="AA430" s="45"/>
      <c r="AB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  <c r="AA432" s="45"/>
      <c r="AB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  <c r="AA434" s="45"/>
      <c r="AB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  <c r="AA436" s="45"/>
      <c r="AB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  <c r="AA438" s="45"/>
      <c r="AB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  <c r="AA440" s="45"/>
      <c r="AB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  <c r="AA442" s="45"/>
      <c r="AB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  <c r="AA444" s="45"/>
      <c r="AB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  <c r="AA448" s="45"/>
      <c r="AB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  <c r="AA450" s="45"/>
      <c r="AB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  <c r="AA452" s="45"/>
      <c r="AB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  <c r="AA454" s="45"/>
      <c r="AB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  <c r="AA456" s="45"/>
      <c r="AB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  <c r="AA458" s="45"/>
      <c r="AB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  <c r="AA460" s="45"/>
      <c r="AB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  <c r="AA462" s="45"/>
      <c r="AB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  <c r="AA464" s="45"/>
      <c r="AB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  <c r="AA466" s="45"/>
      <c r="AB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  <c r="AA468" s="45"/>
      <c r="AB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  <c r="AA470" s="45"/>
      <c r="AB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  <c r="AA472" s="45"/>
      <c r="AB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  <c r="AA474" s="45"/>
      <c r="AB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  <c r="AA476" s="45"/>
      <c r="AB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  <c r="AA478" s="45"/>
      <c r="AB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  <c r="AA480" s="45"/>
      <c r="AB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  <c r="AA482" s="45"/>
      <c r="AB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  <c r="AA486" s="45"/>
      <c r="AB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  <c r="AA488" s="45"/>
      <c r="AB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  <c r="AA490" s="45"/>
      <c r="AB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  <c r="AA492" s="45"/>
      <c r="AB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  <c r="AA494" s="45"/>
      <c r="AB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  <c r="AA496" s="45"/>
      <c r="AB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  <c r="AA498" s="45"/>
      <c r="AB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  <c r="AA500" s="45"/>
      <c r="AB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  <c r="AA502" s="45"/>
      <c r="AB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  <c r="AA504" s="45"/>
      <c r="AB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  <c r="AA506" s="45"/>
      <c r="AB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  <c r="AA508" s="45"/>
      <c r="AB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  <c r="AA509" s="45"/>
      <c r="AB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  <c r="AA510" s="45"/>
      <c r="AB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  <c r="AA511" s="45"/>
      <c r="AB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  <c r="AA512" s="45"/>
      <c r="AB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  <c r="AA513" s="45"/>
      <c r="AB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  <c r="AA514" s="45"/>
      <c r="AB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  <c r="AA515" s="45"/>
      <c r="AB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  <c r="AA516" s="45"/>
      <c r="AB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  <c r="AA517" s="45"/>
      <c r="AB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  <c r="AA518" s="45"/>
      <c r="AB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  <c r="AA520" s="45"/>
      <c r="AB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  <c r="AA521" s="45"/>
      <c r="AB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  <c r="AA523" s="45"/>
      <c r="AB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  <c r="AA524" s="45"/>
      <c r="AB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  <c r="AA525" s="45"/>
      <c r="AB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  <c r="AA526" s="45"/>
      <c r="AB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  <c r="AA527" s="45"/>
      <c r="AB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  <c r="AA528" s="45"/>
      <c r="AB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  <c r="AA529" s="45"/>
      <c r="AB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  <c r="AA530" s="45"/>
      <c r="AB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  <c r="AA531" s="45"/>
      <c r="AB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  <c r="AA532" s="45"/>
      <c r="AB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  <c r="AA533" s="45"/>
      <c r="AB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  <c r="AA534" s="45"/>
      <c r="AB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  <c r="AA535" s="45"/>
      <c r="AB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  <c r="AA536" s="45"/>
      <c r="AB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  <c r="AA537" s="45"/>
      <c r="AB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  <c r="AA538" s="45"/>
      <c r="AB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  <c r="AA539" s="45"/>
      <c r="AB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  <c r="AA540" s="45"/>
      <c r="AB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  <c r="AA542" s="45"/>
      <c r="AB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  <c r="AA543" s="45"/>
      <c r="AB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  <c r="AA544" s="45"/>
      <c r="AB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  <c r="AA545" s="45"/>
      <c r="AB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  <c r="AA546" s="45"/>
      <c r="AB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  <c r="AA547" s="45"/>
      <c r="AB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  <c r="AA548" s="45"/>
      <c r="AB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  <c r="AA549" s="45"/>
      <c r="AB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  <c r="AA550" s="45"/>
      <c r="AB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  <c r="AA551" s="45"/>
      <c r="AB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  <c r="AA552" s="45"/>
      <c r="AB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  <c r="AA553" s="45"/>
      <c r="AB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  <c r="AA554" s="45"/>
      <c r="AB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  <c r="AA555" s="45"/>
      <c r="AB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  <c r="AA556" s="45"/>
      <c r="AB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  <c r="AA558" s="45"/>
      <c r="AB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  <c r="AA559" s="45"/>
      <c r="AB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  <c r="AA561" s="45"/>
      <c r="AB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  <c r="AA562" s="45"/>
      <c r="AB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  <c r="AA563" s="45"/>
      <c r="AB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  <c r="AA565" s="45"/>
      <c r="AB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  <c r="AA566" s="45"/>
      <c r="AB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  <c r="AA567" s="45"/>
      <c r="AB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  <c r="AA568" s="45"/>
      <c r="AB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  <c r="AB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  <c r="AA570" s="45"/>
      <c r="AB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  <c r="AA571" s="45"/>
      <c r="AB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  <c r="AA572" s="45"/>
      <c r="AB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  <c r="AA573" s="45"/>
      <c r="AB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  <c r="AA574" s="45"/>
      <c r="AB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  <c r="AA575" s="45"/>
      <c r="AB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  <c r="AA576" s="45"/>
      <c r="AB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  <c r="AA577" s="45"/>
      <c r="AB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  <c r="AA578" s="45"/>
      <c r="AB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  <c r="AA579" s="45"/>
      <c r="AB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  <c r="AA580" s="45"/>
      <c r="AB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  <c r="AA581" s="45"/>
      <c r="AB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  <c r="AA582" s="45"/>
      <c r="AB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  <c r="AA583" s="45"/>
      <c r="AB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  <c r="AA584" s="45"/>
      <c r="AB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  <c r="AA585" s="45"/>
      <c r="AB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  <c r="AA586" s="45"/>
      <c r="AB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  <c r="AA587" s="45"/>
      <c r="AB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  <c r="AA588" s="45"/>
      <c r="AB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  <c r="AA589" s="45"/>
      <c r="AB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  <c r="AA590" s="45"/>
      <c r="AB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  <c r="AA591" s="45"/>
      <c r="AB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  <c r="AA592" s="45"/>
      <c r="AB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  <c r="AA593" s="45"/>
      <c r="AB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  <c r="AA594" s="45"/>
      <c r="AB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  <c r="AA596" s="45"/>
      <c r="AB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  <c r="AA597" s="45"/>
      <c r="AB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  <c r="AA599" s="45"/>
      <c r="AB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  <c r="AA600" s="45"/>
      <c r="AB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  <c r="AA601" s="45"/>
      <c r="AB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  <c r="AA602" s="45"/>
      <c r="AB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  <c r="AA603" s="45"/>
      <c r="AB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  <c r="AA604" s="45"/>
      <c r="AB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  <c r="AA605" s="45"/>
      <c r="AB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  <c r="AA606" s="45"/>
      <c r="AB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  <c r="AA607" s="45"/>
      <c r="AB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  <c r="AA608" s="45"/>
      <c r="AB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  <c r="AA609" s="45"/>
      <c r="AB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  <c r="AA610" s="45"/>
      <c r="AB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  <c r="AA611" s="45"/>
      <c r="AB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  <c r="AA612" s="45"/>
      <c r="AB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  <c r="AA613" s="45"/>
      <c r="AB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  <c r="AA614" s="45"/>
      <c r="AB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  <c r="AA615" s="45"/>
      <c r="AB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  <c r="AA616" s="45"/>
      <c r="AB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  <c r="AA617" s="45"/>
      <c r="AB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  <c r="AA618" s="45"/>
      <c r="AB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  <c r="AA619" s="45"/>
      <c r="AB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  <c r="AA620" s="45"/>
      <c r="AB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  <c r="AA621" s="45"/>
      <c r="AB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  <c r="AA622" s="45"/>
      <c r="AB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  <c r="AA623" s="45"/>
      <c r="AB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  <c r="AA624" s="45"/>
      <c r="AB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  <c r="AA625" s="45"/>
      <c r="AB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  <c r="AA626" s="45"/>
      <c r="AB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  <c r="AA627" s="45"/>
      <c r="AB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  <c r="AA628" s="45"/>
      <c r="AB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  <c r="AA629" s="45"/>
      <c r="AB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  <c r="AA630" s="45"/>
      <c r="AB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  <c r="AA631" s="45"/>
      <c r="AB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  <c r="AA632" s="45"/>
      <c r="AB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  <c r="AA634" s="45"/>
      <c r="AB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  <c r="AA635" s="45"/>
      <c r="AB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  <c r="AA637" s="45"/>
      <c r="AB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  <c r="AA638" s="45"/>
      <c r="AB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  <c r="AA639" s="45"/>
      <c r="AB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  <c r="AA640" s="45"/>
      <c r="AB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  <c r="AA641" s="45"/>
      <c r="AB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  <c r="AA642" s="45"/>
      <c r="AB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  <c r="AA643" s="45"/>
      <c r="AB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  <c r="AA644" s="45"/>
      <c r="AB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  <c r="AA645" s="45"/>
      <c r="AB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  <c r="AA646" s="45"/>
      <c r="AB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  <c r="AA647" s="45"/>
      <c r="AB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  <c r="AA648" s="45"/>
      <c r="AB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  <c r="AA649" s="45"/>
      <c r="AB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  <c r="AA650" s="45"/>
      <c r="AB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  <c r="AA651" s="45"/>
      <c r="AB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  <c r="AA652" s="45"/>
      <c r="AB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  <c r="AA653" s="45"/>
      <c r="AB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  <c r="AA654" s="45"/>
      <c r="AB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  <c r="AA655" s="45"/>
      <c r="AB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  <c r="AA656" s="45"/>
      <c r="AB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  <c r="AA657" s="45"/>
      <c r="AB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  <c r="AA658" s="45"/>
      <c r="AB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  <c r="AA659" s="45"/>
      <c r="AB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  <c r="AA660" s="45"/>
      <c r="AB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  <c r="AA661" s="45"/>
      <c r="AB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  <c r="AA662" s="45"/>
      <c r="AB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  <c r="AA663" s="45"/>
      <c r="AB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  <c r="AA664" s="45"/>
      <c r="AB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  <c r="AA665" s="45"/>
      <c r="AB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  <c r="AA666" s="45"/>
      <c r="AB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  <c r="AA667" s="45"/>
      <c r="AB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  <c r="AA668" s="45"/>
      <c r="AB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  <c r="AA669" s="45"/>
      <c r="AB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  <c r="AA670" s="45"/>
      <c r="AB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  <c r="AA672" s="45"/>
      <c r="AB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  <c r="AA673" s="45"/>
      <c r="AB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  <c r="AA675" s="45"/>
      <c r="AB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  <c r="AA676" s="45"/>
      <c r="AB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  <c r="AA677" s="45"/>
      <c r="AB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  <c r="AA678" s="45"/>
      <c r="AB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  <c r="AA679" s="45"/>
      <c r="AB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  <c r="AA680" s="45"/>
      <c r="AB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  <c r="AA681" s="45"/>
      <c r="AB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  <c r="AA682" s="45"/>
      <c r="AB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  <c r="AA683" s="45"/>
      <c r="AB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  <c r="AA684" s="45"/>
      <c r="AB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  <c r="AA685" s="45"/>
      <c r="AB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  <c r="AA686" s="45"/>
      <c r="AB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  <c r="AA687" s="45"/>
      <c r="AB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  <c r="AA688" s="45"/>
      <c r="AB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  <c r="AA689" s="45"/>
      <c r="AB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  <c r="AA690" s="45"/>
      <c r="AB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  <c r="AA691" s="45"/>
      <c r="AB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  <c r="AA692" s="45"/>
      <c r="AB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  <c r="AA693" s="45"/>
      <c r="AB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  <c r="AA694" s="45"/>
      <c r="AB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  <c r="AA695" s="45"/>
      <c r="AB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  <c r="AA696" s="45"/>
      <c r="AB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  <c r="AA697" s="45"/>
      <c r="AB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  <c r="AA698" s="45"/>
      <c r="AB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  <c r="AA699" s="45"/>
      <c r="AB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  <c r="AA700" s="45"/>
      <c r="AB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  <c r="AA701" s="45"/>
      <c r="AB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  <c r="AA702" s="45"/>
      <c r="AB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  <c r="AA703" s="45"/>
      <c r="AB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  <c r="AA704" s="45"/>
      <c r="AB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  <c r="AA705" s="45"/>
      <c r="AB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  <c r="AA706" s="45"/>
      <c r="AB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  <c r="AA707" s="45"/>
      <c r="AB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  <c r="AA708" s="45"/>
      <c r="AB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  <c r="AA710" s="45"/>
      <c r="AB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  <c r="AA711" s="45"/>
      <c r="AB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  <c r="AA713" s="45"/>
      <c r="AB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  <c r="AA714" s="45"/>
      <c r="AB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  <c r="AA715" s="45"/>
      <c r="AB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  <c r="AA716" s="45"/>
      <c r="AB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  <c r="AA717" s="45"/>
      <c r="AB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  <c r="AA718" s="45"/>
      <c r="AB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  <c r="AA719" s="45"/>
      <c r="AB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  <c r="AA720" s="45"/>
      <c r="AB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  <c r="AA721" s="45"/>
      <c r="AB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  <c r="AA722" s="45"/>
      <c r="AB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  <c r="AA723" s="45"/>
      <c r="AB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  <c r="AA724" s="45"/>
      <c r="AB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  <c r="AA725" s="45"/>
      <c r="AB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  <c r="AA726" s="45"/>
      <c r="AB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  <c r="AA727" s="45"/>
      <c r="AB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  <c r="AA728" s="45"/>
      <c r="AB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  <c r="AA729" s="45"/>
      <c r="AB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  <c r="AA730" s="45"/>
      <c r="AB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  <c r="AA731" s="45"/>
      <c r="AB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  <c r="AA732" s="45"/>
      <c r="AB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  <c r="AA733" s="45"/>
      <c r="AB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  <c r="AA734" s="45"/>
      <c r="AB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  <c r="AA735" s="45"/>
      <c r="AB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  <c r="AA736" s="45"/>
      <c r="AB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  <c r="AA737" s="45"/>
      <c r="AB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  <c r="AA738" s="45"/>
      <c r="AB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  <c r="AA739" s="45"/>
      <c r="AB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  <c r="AA740" s="45"/>
      <c r="AB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  <c r="AA741" s="45"/>
      <c r="AB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  <c r="AA742" s="45"/>
      <c r="AB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  <c r="AA743" s="45"/>
      <c r="AB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  <c r="AA744" s="45"/>
      <c r="AB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  <c r="AA745" s="45"/>
      <c r="AB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  <c r="AA746" s="45"/>
      <c r="AB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  <c r="AA748" s="45"/>
      <c r="AB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  <c r="AA749" s="45"/>
      <c r="AB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  <c r="AA751" s="45"/>
      <c r="AB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  <c r="AA752" s="45"/>
      <c r="AB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  <c r="AA753" s="45"/>
      <c r="AB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  <c r="AA754" s="45"/>
      <c r="AB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  <c r="AA755" s="45"/>
      <c r="AB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  <c r="AA756" s="45"/>
      <c r="AB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  <c r="AA757" s="45"/>
      <c r="AB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  <c r="AA758" s="45"/>
      <c r="AB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  <c r="AA759" s="45"/>
      <c r="AB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  <c r="AA760" s="45"/>
      <c r="AB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  <c r="AA761" s="45"/>
      <c r="AB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  <c r="AA762" s="45"/>
      <c r="AB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  <c r="AA763" s="45"/>
      <c r="AB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  <c r="AA764" s="45"/>
      <c r="AB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  <c r="AA765" s="45"/>
      <c r="AB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  <c r="AA766" s="45"/>
      <c r="AB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  <c r="AA767" s="45"/>
      <c r="AB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  <c r="AA768" s="45"/>
      <c r="AB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  <c r="AA769" s="45"/>
      <c r="AB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  <c r="AA770" s="45"/>
      <c r="AB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  <c r="AA771" s="45"/>
      <c r="AB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  <c r="AA772" s="45"/>
      <c r="AB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  <c r="AA773" s="45"/>
      <c r="AB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  <c r="AA774" s="45"/>
      <c r="AB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  <c r="AA775" s="45"/>
      <c r="AB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  <c r="AA776" s="45"/>
      <c r="AB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  <c r="AA777" s="45"/>
      <c r="AB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  <c r="AA778" s="45"/>
      <c r="AB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  <c r="AA779" s="45"/>
      <c r="AB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  <c r="AA780" s="45"/>
      <c r="AB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  <c r="AA781" s="45"/>
      <c r="AB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  <c r="AA782" s="45"/>
      <c r="AB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  <c r="AA783" s="45"/>
      <c r="AB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  <c r="AA784" s="45"/>
      <c r="AB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  <c r="AA786" s="45"/>
      <c r="AB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  <c r="AA787" s="45"/>
      <c r="AB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  <c r="AA789" s="45"/>
      <c r="AB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  <c r="AA790" s="45"/>
      <c r="AB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  <c r="AA791" s="45"/>
      <c r="AB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  <c r="AA792" s="45"/>
      <c r="AB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  <c r="AA793" s="45"/>
      <c r="AB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  <c r="AA794" s="45"/>
      <c r="AB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  <c r="AA795" s="45"/>
      <c r="AB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  <c r="AA796" s="45"/>
      <c r="AB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  <c r="AA797" s="45"/>
      <c r="AB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  <c r="AA798" s="45"/>
      <c r="AB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  <c r="AA799" s="45"/>
      <c r="AB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  <c r="AA800" s="45"/>
      <c r="AB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  <c r="AA801" s="45"/>
      <c r="AB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  <c r="AA802" s="45"/>
      <c r="AB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  <c r="AA803" s="45"/>
      <c r="AB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  <c r="AA804" s="45"/>
      <c r="AB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  <c r="AA805" s="45"/>
      <c r="AB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  <c r="AA806" s="45"/>
      <c r="AB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  <c r="AA807" s="45"/>
      <c r="AB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  <c r="AA808" s="45"/>
      <c r="AB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  <c r="AA809" s="45"/>
      <c r="AB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  <c r="AA810" s="45"/>
      <c r="AB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  <c r="AA811" s="45"/>
      <c r="AB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  <c r="AA812" s="45"/>
      <c r="AB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  <c r="AA813" s="45"/>
      <c r="AB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  <c r="AA814" s="45"/>
      <c r="AB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  <c r="AA815" s="45"/>
      <c r="AB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  <c r="AA816" s="45"/>
      <c r="AB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  <c r="AA817" s="45"/>
      <c r="AB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  <c r="AA818" s="45"/>
      <c r="AB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  <c r="AA819" s="45"/>
      <c r="AB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  <c r="AA820" s="45"/>
      <c r="AB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  <c r="AA821" s="45"/>
      <c r="AB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  <c r="AA822" s="45"/>
      <c r="AB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  <c r="AA824" s="45"/>
      <c r="AB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  <c r="AA825" s="45"/>
      <c r="AB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  <c r="AA827" s="45"/>
      <c r="AB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  <c r="AA828" s="45"/>
      <c r="AB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  <c r="AA829" s="45"/>
      <c r="AB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  <c r="AA830" s="45"/>
      <c r="AB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  <c r="AA831" s="45"/>
      <c r="AB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  <c r="AA832" s="45"/>
      <c r="AB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  <c r="AA833" s="45"/>
      <c r="AB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  <c r="AA834" s="45"/>
      <c r="AB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  <c r="AA835" s="45"/>
      <c r="AB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  <c r="AA836" s="45"/>
      <c r="AB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  <c r="AA837" s="45"/>
      <c r="AB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  <c r="AA838" s="45"/>
      <c r="AB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  <c r="AA839" s="45"/>
      <c r="AB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  <c r="AA840" s="45"/>
      <c r="AB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  <c r="AA841" s="45"/>
      <c r="AB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  <c r="AA842" s="45"/>
      <c r="AB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  <c r="AA843" s="45"/>
      <c r="AB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  <c r="AA844" s="45"/>
      <c r="AB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  <c r="AA845" s="45"/>
      <c r="AB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  <c r="AA846" s="45"/>
      <c r="AB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  <c r="AA847" s="45"/>
      <c r="AB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  <c r="AA848" s="45"/>
      <c r="AB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  <c r="AA849" s="45"/>
      <c r="AB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  <c r="AA850" s="45"/>
      <c r="AB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  <c r="AA851" s="45"/>
      <c r="AB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  <c r="AA852" s="45"/>
      <c r="AB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  <c r="AA853" s="45"/>
      <c r="AB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  <c r="AA854" s="45"/>
      <c r="AB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  <c r="AA855" s="45"/>
      <c r="AB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  <c r="AA856" s="45"/>
      <c r="AB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  <c r="AA857" s="45"/>
      <c r="AB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  <c r="AA858" s="45"/>
      <c r="AB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  <c r="AA859" s="45"/>
      <c r="AB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  <c r="AA860" s="45"/>
      <c r="AB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  <c r="AA862" s="45"/>
      <c r="AB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  <c r="AA863" s="45"/>
      <c r="AB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  <c r="AA865" s="45"/>
      <c r="AB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  <c r="AA866" s="45"/>
      <c r="AB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  <c r="AA867" s="45"/>
      <c r="AB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  <c r="AA868" s="45"/>
      <c r="AB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  <c r="AA869" s="45"/>
      <c r="AB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  <c r="AA870" s="45"/>
      <c r="AB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  <c r="AA871" s="45"/>
      <c r="AB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  <c r="AA872" s="45"/>
      <c r="AB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  <c r="AA873" s="45"/>
      <c r="AB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  <c r="AA874" s="45"/>
      <c r="AB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  <c r="AA875" s="45"/>
      <c r="AB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  <c r="AA876" s="45"/>
      <c r="AB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  <c r="AA877" s="45"/>
      <c r="AB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  <c r="AA878" s="45"/>
      <c r="AB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  <c r="AA879" s="45"/>
      <c r="AB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  <c r="AA880" s="45"/>
      <c r="AB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  <c r="AA882" s="45"/>
      <c r="AB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  <c r="AA883" s="45"/>
      <c r="AB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  <c r="AA884" s="45"/>
      <c r="AB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  <c r="AA885" s="45"/>
      <c r="AB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  <c r="AA886" s="45"/>
      <c r="AB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  <c r="AA887" s="45"/>
      <c r="AB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  <c r="AA888" s="45"/>
      <c r="AB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  <c r="AA889" s="45"/>
      <c r="AB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  <c r="AA890" s="45"/>
      <c r="AB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  <c r="AA891" s="45"/>
      <c r="AB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  <c r="AA892" s="45"/>
      <c r="AB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  <c r="AA893" s="45"/>
      <c r="AB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  <c r="AA894" s="45"/>
      <c r="AB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  <c r="AA895" s="45"/>
      <c r="AB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  <c r="AA896" s="45"/>
      <c r="AB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  <c r="AA897" s="45"/>
      <c r="AB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  <c r="AA898" s="45"/>
      <c r="AB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  <c r="AA900" s="45"/>
      <c r="AB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  <c r="AA901" s="45"/>
      <c r="AB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  <c r="AA903" s="45"/>
      <c r="AB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  <c r="AA904" s="45"/>
      <c r="AB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  <c r="AA905" s="45"/>
      <c r="AB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  <c r="AA906" s="45"/>
      <c r="AB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  <c r="AA907" s="45"/>
      <c r="AB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  <c r="AA908" s="45"/>
      <c r="AB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  <c r="AA909" s="45"/>
      <c r="AB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  <c r="AA910" s="45"/>
      <c r="AB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  <c r="AA911" s="45"/>
      <c r="AB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  <c r="AA912" s="45"/>
      <c r="AB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  <c r="AA913" s="45"/>
      <c r="AB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  <c r="AA914" s="45"/>
      <c r="AB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  <c r="AA915" s="45"/>
      <c r="AB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  <c r="AA916" s="45"/>
      <c r="AB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</row>
  </sheetData>
  <conditionalFormatting sqref="N11">
    <cfRule type="cellIs" dxfId="3" priority="1" operator="lessThan">
      <formula>0</formula>
    </cfRule>
  </conditionalFormatting>
  <conditionalFormatting sqref="N11">
    <cfRule type="cellIs" dxfId="5" priority="2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42.38"/>
    <col customWidth="1" min="5" max="5" width="14.63"/>
  </cols>
  <sheetData>
    <row r="1">
      <c r="A1" s="54" t="s">
        <v>17</v>
      </c>
      <c r="B1" s="55" t="s">
        <v>31</v>
      </c>
      <c r="C1" s="55" t="s">
        <v>32</v>
      </c>
      <c r="D1" s="55" t="s">
        <v>33</v>
      </c>
      <c r="E1" s="56" t="s">
        <v>8</v>
      </c>
    </row>
    <row r="2">
      <c r="A2" s="46">
        <v>1.0</v>
      </c>
      <c r="B2" s="57"/>
      <c r="C2" s="57"/>
      <c r="D2" s="57"/>
      <c r="E2" s="58">
        <v>6.0</v>
      </c>
    </row>
    <row r="3">
      <c r="A3" s="46">
        <v>2.0</v>
      </c>
      <c r="B3" s="57"/>
      <c r="C3" s="57"/>
      <c r="D3" s="57"/>
    </row>
    <row r="4">
      <c r="A4" s="46">
        <v>3.0</v>
      </c>
      <c r="B4" s="57"/>
      <c r="C4" s="57"/>
      <c r="D4" s="57"/>
    </row>
    <row r="5">
      <c r="A5" s="46">
        <v>4.0</v>
      </c>
      <c r="B5" s="57"/>
      <c r="C5" s="57"/>
      <c r="D5" s="57"/>
    </row>
    <row r="6">
      <c r="A6" s="46">
        <v>5.0</v>
      </c>
      <c r="B6" s="57"/>
      <c r="C6" s="57"/>
      <c r="D6" s="57"/>
    </row>
    <row r="7">
      <c r="A7" s="46">
        <v>6.0</v>
      </c>
      <c r="B7" s="57"/>
      <c r="C7" s="57"/>
      <c r="D7" s="57"/>
    </row>
    <row r="8">
      <c r="A8" s="46">
        <v>7.0</v>
      </c>
      <c r="B8" s="59"/>
      <c r="C8" s="57"/>
      <c r="D8" s="57"/>
    </row>
    <row r="9">
      <c r="A9" s="46">
        <v>8.0</v>
      </c>
      <c r="B9" s="57"/>
      <c r="C9" s="57"/>
      <c r="D9" s="57"/>
    </row>
    <row r="10">
      <c r="A10" s="46">
        <v>9.0</v>
      </c>
      <c r="B10" s="59"/>
      <c r="C10" s="57"/>
      <c r="D10" s="57"/>
    </row>
    <row r="11">
      <c r="A11" s="46">
        <v>10.0</v>
      </c>
      <c r="B11" s="57"/>
      <c r="C11" s="57"/>
      <c r="D11" s="57"/>
    </row>
    <row r="12">
      <c r="A12" s="46">
        <v>11.0</v>
      </c>
      <c r="B12" s="57"/>
      <c r="C12" s="57"/>
      <c r="D12" s="57"/>
    </row>
    <row r="13">
      <c r="A13" s="46">
        <v>12.0</v>
      </c>
      <c r="B13" s="57"/>
      <c r="C13" s="57"/>
      <c r="D13" s="57"/>
    </row>
    <row r="14">
      <c r="A14" s="46">
        <v>13.0</v>
      </c>
      <c r="B14" s="57"/>
      <c r="C14" s="57"/>
      <c r="D14" s="57"/>
    </row>
    <row r="15">
      <c r="A15" s="46">
        <v>14.0</v>
      </c>
      <c r="B15" s="59"/>
      <c r="C15" s="57"/>
      <c r="D15" s="57"/>
    </row>
    <row r="16">
      <c r="A16" s="46">
        <v>15.0</v>
      </c>
      <c r="B16" s="59"/>
      <c r="C16" s="57"/>
      <c r="D16" s="57"/>
    </row>
    <row r="17">
      <c r="A17" s="46">
        <v>16.0</v>
      </c>
      <c r="B17" s="57"/>
      <c r="C17" s="57"/>
      <c r="D17" s="57"/>
    </row>
    <row r="18">
      <c r="A18" s="46">
        <v>17.0</v>
      </c>
      <c r="B18" s="59"/>
      <c r="C18" s="57"/>
      <c r="D18" s="57"/>
    </row>
    <row r="19">
      <c r="A19" s="46">
        <v>18.0</v>
      </c>
      <c r="B19" s="59"/>
      <c r="C19" s="57"/>
      <c r="D19" s="57"/>
    </row>
    <row r="20">
      <c r="A20" s="46">
        <v>19.0</v>
      </c>
      <c r="B20" s="59"/>
      <c r="C20" s="57"/>
      <c r="D20" s="57"/>
    </row>
    <row r="21">
      <c r="A21" s="46">
        <v>20.0</v>
      </c>
      <c r="B21" s="59"/>
      <c r="C21" s="57"/>
      <c r="D21" s="57"/>
    </row>
    <row r="22">
      <c r="A22" s="46">
        <v>21.0</v>
      </c>
      <c r="B22" s="59"/>
      <c r="C22" s="57"/>
      <c r="D22" s="57"/>
    </row>
    <row r="23">
      <c r="A23" s="46">
        <v>22.0</v>
      </c>
      <c r="B23" s="57"/>
      <c r="C23" s="57"/>
      <c r="D23" s="57"/>
    </row>
    <row r="24">
      <c r="A24" s="46">
        <v>23.0</v>
      </c>
      <c r="B24" s="59"/>
      <c r="C24" s="57"/>
      <c r="D24" s="57"/>
    </row>
    <row r="25">
      <c r="A25" s="46">
        <v>24.0</v>
      </c>
      <c r="B25" s="57"/>
      <c r="C25" s="57"/>
      <c r="D25" s="57"/>
    </row>
    <row r="26">
      <c r="A26" s="46">
        <v>25.0</v>
      </c>
      <c r="B26" s="59"/>
      <c r="C26" s="57"/>
      <c r="D26" s="57"/>
    </row>
    <row r="27">
      <c r="A27" s="46">
        <v>26.0</v>
      </c>
      <c r="B27" s="59"/>
      <c r="C27" s="57"/>
      <c r="D27" s="57"/>
    </row>
    <row r="28">
      <c r="A28" s="46">
        <v>27.0</v>
      </c>
      <c r="B28" s="59"/>
      <c r="C28" s="57"/>
      <c r="D28" s="57"/>
    </row>
    <row r="29">
      <c r="A29" s="46">
        <v>28.0</v>
      </c>
      <c r="B29" s="59"/>
      <c r="C29" s="57"/>
      <c r="D29" s="57"/>
    </row>
    <row r="30">
      <c r="A30" s="46">
        <v>29.0</v>
      </c>
      <c r="B30" s="59"/>
      <c r="C30" s="59"/>
      <c r="D30" s="59"/>
    </row>
    <row r="31">
      <c r="A31" s="46">
        <v>30.0</v>
      </c>
      <c r="B31" s="59"/>
      <c r="C31" s="59"/>
      <c r="D31" s="59"/>
    </row>
    <row r="32">
      <c r="A32" s="46">
        <v>31.0</v>
      </c>
      <c r="B32" s="59"/>
      <c r="C32" s="59"/>
      <c r="D32" s="59"/>
    </row>
    <row r="33">
      <c r="A33" s="60" t="s">
        <v>15</v>
      </c>
      <c r="B33" s="59"/>
      <c r="C33" s="59"/>
      <c r="D33" s="53">
        <f>sum(D2:D32)</f>
        <v>0</v>
      </c>
    </row>
    <row r="34">
      <c r="D34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0.88"/>
    <col customWidth="1" min="2" max="2" width="26.75"/>
    <col customWidth="1" min="3" max="3" width="88.25"/>
    <col customWidth="1" min="4" max="4" width="20.5"/>
    <col customWidth="1" min="6" max="6" width="25.38"/>
  </cols>
  <sheetData>
    <row r="1">
      <c r="A1" s="54" t="s">
        <v>17</v>
      </c>
      <c r="B1" s="55" t="s">
        <v>0</v>
      </c>
      <c r="C1" s="55" t="s">
        <v>34</v>
      </c>
      <c r="D1" s="55" t="s">
        <v>33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57" t="s">
        <v>14</v>
      </c>
      <c r="C2" s="57" t="s">
        <v>35</v>
      </c>
      <c r="D2" s="57">
        <v>990.0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46">
        <v>2.0</v>
      </c>
      <c r="B3" s="57"/>
      <c r="C3" s="57"/>
      <c r="D3" s="57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46">
        <v>3.0</v>
      </c>
      <c r="B4" s="57"/>
      <c r="C4" s="57"/>
      <c r="D4" s="57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46">
        <v>4.0</v>
      </c>
      <c r="B5" s="57" t="s">
        <v>13</v>
      </c>
      <c r="C5" s="57" t="s">
        <v>36</v>
      </c>
      <c r="D5" s="57">
        <v>160.0</v>
      </c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46">
        <v>5.0</v>
      </c>
      <c r="B6" s="57" t="s">
        <v>14</v>
      </c>
      <c r="C6" s="57" t="s">
        <v>37</v>
      </c>
      <c r="D6" s="57">
        <v>870.0</v>
      </c>
      <c r="E6" s="45"/>
      <c r="F6" s="49" t="s">
        <v>38</v>
      </c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46">
        <v>6.0</v>
      </c>
      <c r="B7" s="57" t="s">
        <v>9</v>
      </c>
      <c r="C7" s="57" t="s">
        <v>39</v>
      </c>
      <c r="D7" s="57">
        <v>170.0</v>
      </c>
      <c r="E7" s="45"/>
      <c r="F7" s="49" t="s">
        <v>10</v>
      </c>
      <c r="G7" s="45">
        <f>SUMIF(B2:B32, "Ashfatul", D2:D32)</f>
        <v>525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46">
        <v>7.0</v>
      </c>
      <c r="B8" s="57" t="s">
        <v>12</v>
      </c>
      <c r="C8" s="57" t="s">
        <v>40</v>
      </c>
      <c r="D8" s="57">
        <v>100.0</v>
      </c>
      <c r="E8" s="45"/>
      <c r="F8" s="49" t="s">
        <v>9</v>
      </c>
      <c r="G8" s="45">
        <f>SUMIF(B2:B32, "Shariful", D2:D32)</f>
        <v>272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46">
        <v>8.0</v>
      </c>
      <c r="B9" s="57" t="s">
        <v>13</v>
      </c>
      <c r="C9" s="57" t="s">
        <v>40</v>
      </c>
      <c r="D9" s="57">
        <v>126.0</v>
      </c>
      <c r="E9" s="45"/>
      <c r="F9" s="49" t="s">
        <v>11</v>
      </c>
      <c r="G9" s="45">
        <f>SUMIF(B2:B32, "Mostakim", D2:D32)</f>
        <v>885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46">
        <v>9.0</v>
      </c>
      <c r="B10" s="57" t="s">
        <v>13</v>
      </c>
      <c r="C10" s="57" t="s">
        <v>40</v>
      </c>
      <c r="D10" s="57">
        <v>40.0</v>
      </c>
      <c r="E10" s="45"/>
      <c r="F10" s="49" t="s">
        <v>12</v>
      </c>
      <c r="G10" s="45">
        <f>SUMIF(B2:B32, "Fahim", D2:D32)</f>
        <v>200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46">
        <v>10.0</v>
      </c>
      <c r="B11" s="57" t="s">
        <v>12</v>
      </c>
      <c r="C11" s="62" t="s">
        <v>41</v>
      </c>
      <c r="D11" s="57">
        <v>100.0</v>
      </c>
      <c r="E11" s="45"/>
      <c r="F11" s="49" t="s">
        <v>13</v>
      </c>
      <c r="G11" s="45">
        <f>SUMIF(B2:B32, "Sadman", D2:D32)</f>
        <v>366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46">
        <v>11.0</v>
      </c>
      <c r="B12" s="57" t="s">
        <v>13</v>
      </c>
      <c r="C12" s="57" t="s">
        <v>42</v>
      </c>
      <c r="D12" s="57">
        <v>40.0</v>
      </c>
      <c r="E12" s="45"/>
      <c r="F12" s="49" t="s">
        <v>14</v>
      </c>
      <c r="G12" s="45">
        <f>SUMIF(B2:B32, "Hamim", D2:D32)</f>
        <v>1860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46">
        <v>12.0</v>
      </c>
      <c r="B13" s="57"/>
      <c r="C13" s="57"/>
      <c r="D13" s="57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46">
        <v>13.0</v>
      </c>
      <c r="B14" s="57" t="s">
        <v>10</v>
      </c>
      <c r="C14" s="57" t="s">
        <v>43</v>
      </c>
      <c r="D14" s="57">
        <v>525.0</v>
      </c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46">
        <v>14.0</v>
      </c>
      <c r="B15" s="57"/>
      <c r="C15" s="57"/>
      <c r="D15" s="57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46">
        <v>15.0</v>
      </c>
      <c r="B16" s="57"/>
      <c r="C16" s="57"/>
      <c r="D16" s="57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46">
        <v>16.0</v>
      </c>
      <c r="B17" s="57" t="s">
        <v>11</v>
      </c>
      <c r="C17" s="57" t="s">
        <v>44</v>
      </c>
      <c r="D17" s="57">
        <v>780.0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46">
        <v>17.0</v>
      </c>
      <c r="B18" s="57" t="s">
        <v>11</v>
      </c>
      <c r="C18" s="57" t="s">
        <v>40</v>
      </c>
      <c r="D18" s="57">
        <v>105.0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46">
        <v>18.0</v>
      </c>
      <c r="B19" s="57"/>
      <c r="C19" s="57"/>
      <c r="D19" s="57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6">
        <v>19.0</v>
      </c>
      <c r="B20" s="57"/>
      <c r="C20" s="57"/>
      <c r="D20" s="57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>
      <c r="A21" s="46">
        <v>20.0</v>
      </c>
      <c r="B21" s="57"/>
      <c r="C21" s="57"/>
      <c r="D21" s="57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>
      <c r="A22" s="46">
        <v>21.0</v>
      </c>
      <c r="B22" s="57"/>
      <c r="C22" s="57"/>
      <c r="D22" s="57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>
      <c r="A23" s="46">
        <v>22.0</v>
      </c>
      <c r="B23" s="57" t="s">
        <v>9</v>
      </c>
      <c r="C23" s="57" t="s">
        <v>45</v>
      </c>
      <c r="D23" s="57">
        <v>102.0</v>
      </c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>
      <c r="A24" s="46">
        <v>23.0</v>
      </c>
      <c r="B24" s="57"/>
      <c r="C24" s="57"/>
      <c r="D24" s="57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>
      <c r="A25" s="46">
        <v>24.0</v>
      </c>
      <c r="B25" s="57"/>
      <c r="C25" s="57"/>
      <c r="D25" s="57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>
      <c r="A26" s="46">
        <v>25.0</v>
      </c>
      <c r="B26" s="57"/>
      <c r="C26" s="57"/>
      <c r="D26" s="57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>
      <c r="A27" s="46">
        <v>26.0</v>
      </c>
      <c r="B27" s="57"/>
      <c r="C27" s="57"/>
      <c r="D27" s="57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>
      <c r="A28" s="46">
        <v>27.0</v>
      </c>
      <c r="B28" s="57"/>
      <c r="C28" s="57"/>
      <c r="D28" s="57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46">
        <v>28.0</v>
      </c>
      <c r="B29" s="57"/>
      <c r="C29" s="57"/>
      <c r="D29" s="57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>
      <c r="A30" s="46">
        <v>29.0</v>
      </c>
      <c r="B30" s="57"/>
      <c r="C30" s="57"/>
      <c r="D30" s="57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>
      <c r="A31" s="46">
        <v>30.0</v>
      </c>
      <c r="B31" s="57"/>
      <c r="C31" s="57"/>
      <c r="D31" s="57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>
      <c r="A32" s="46">
        <v>31.0</v>
      </c>
      <c r="B32" s="57"/>
      <c r="C32" s="57"/>
      <c r="D32" s="57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>
      <c r="A33" s="52" t="s">
        <v>46</v>
      </c>
      <c r="B33" s="63"/>
      <c r="C33" s="63"/>
      <c r="D33" s="63">
        <f>'Monthly Global Bazar'!D19</f>
        <v>2470</v>
      </c>
      <c r="E33" s="45"/>
      <c r="F33" s="45">
        <f>sum(D2:D24)</f>
        <v>4108</v>
      </c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>
      <c r="A34" s="60" t="s">
        <v>15</v>
      </c>
      <c r="B34" s="59"/>
      <c r="C34" s="59"/>
      <c r="D34" s="53">
        <f>SUM(D2:D33)</f>
        <v>6578</v>
      </c>
      <c r="E34" s="45"/>
      <c r="F34" s="45">
        <f>D33</f>
        <v>2470</v>
      </c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>
      <c r="A35" s="45"/>
      <c r="B35" s="45"/>
      <c r="C35" s="45"/>
      <c r="D35" s="45"/>
      <c r="E35" s="45"/>
      <c r="F35" s="45">
        <f>sum(F33:F34)</f>
        <v>6578</v>
      </c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>
      <c r="A1001" s="45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dataValidations>
    <dataValidation type="list" allowBlank="1" showErrorMessage="1" sqref="B2:B32">
      <formula1>"Ashfatul,Shariful,Mostakim,Fahim,Sadman,Hamim"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20.88"/>
    <col customWidth="1" min="3" max="3" width="55.0"/>
    <col customWidth="1" min="4" max="4" width="18.5"/>
    <col customWidth="1" min="6" max="6" width="27.38"/>
  </cols>
  <sheetData>
    <row r="1">
      <c r="A1" s="54" t="s">
        <v>17</v>
      </c>
      <c r="B1" s="55" t="s">
        <v>0</v>
      </c>
      <c r="C1" s="64" t="s">
        <v>47</v>
      </c>
      <c r="D1" s="55" t="s">
        <v>33</v>
      </c>
    </row>
    <row r="2">
      <c r="A2" s="65">
        <v>46178.0</v>
      </c>
      <c r="B2" s="57" t="s">
        <v>9</v>
      </c>
      <c r="C2" s="66" t="s">
        <v>48</v>
      </c>
      <c r="D2" s="57">
        <v>400.0</v>
      </c>
    </row>
    <row r="3">
      <c r="A3" s="65">
        <v>46208.0</v>
      </c>
      <c r="B3" s="57" t="s">
        <v>10</v>
      </c>
      <c r="C3" s="66" t="s">
        <v>49</v>
      </c>
      <c r="D3" s="57">
        <v>680.0</v>
      </c>
    </row>
    <row r="4">
      <c r="A4" s="46" t="s">
        <v>50</v>
      </c>
      <c r="B4" s="57" t="s">
        <v>10</v>
      </c>
      <c r="C4" s="66" t="s">
        <v>48</v>
      </c>
      <c r="D4" s="57">
        <v>250.0</v>
      </c>
    </row>
    <row r="5">
      <c r="A5" s="46" t="s">
        <v>51</v>
      </c>
      <c r="B5" s="57" t="s">
        <v>9</v>
      </c>
      <c r="C5" s="66" t="s">
        <v>48</v>
      </c>
      <c r="D5" s="57">
        <v>303.0</v>
      </c>
    </row>
    <row r="6">
      <c r="A6" s="46" t="s">
        <v>51</v>
      </c>
      <c r="B6" s="57" t="s">
        <v>12</v>
      </c>
      <c r="C6" s="66" t="s">
        <v>52</v>
      </c>
      <c r="D6" s="57">
        <v>710.0</v>
      </c>
      <c r="F6" s="49" t="s">
        <v>38</v>
      </c>
      <c r="G6" s="45"/>
    </row>
    <row r="7">
      <c r="A7" s="46" t="s">
        <v>53</v>
      </c>
      <c r="B7" s="57" t="s">
        <v>13</v>
      </c>
      <c r="C7" s="66" t="s">
        <v>54</v>
      </c>
      <c r="D7" s="57">
        <v>300.0</v>
      </c>
      <c r="F7" s="49" t="s">
        <v>10</v>
      </c>
      <c r="G7" s="45">
        <f>SUMIF(B2:B18, "Ashfatul", D2:D18)</f>
        <v>930</v>
      </c>
    </row>
    <row r="8">
      <c r="A8" s="46"/>
      <c r="B8" s="57"/>
      <c r="C8" s="66"/>
      <c r="D8" s="57"/>
      <c r="F8" s="49" t="s">
        <v>9</v>
      </c>
      <c r="G8" s="45">
        <f>SUMIF(B2:B18, "Shariful", D2:D18)</f>
        <v>703</v>
      </c>
    </row>
    <row r="9">
      <c r="A9" s="46"/>
      <c r="B9" s="57"/>
      <c r="C9" s="66"/>
      <c r="D9" s="57"/>
      <c r="F9" s="49" t="s">
        <v>11</v>
      </c>
      <c r="G9" s="45">
        <f>SUMIF(B2:B18, "Mostakim", D2:D18)</f>
        <v>0</v>
      </c>
    </row>
    <row r="10">
      <c r="A10" s="67"/>
      <c r="B10" s="57"/>
      <c r="C10" s="66"/>
      <c r="D10" s="57"/>
      <c r="F10" s="49" t="s">
        <v>12</v>
      </c>
      <c r="G10" s="45">
        <f>SUMIF(B2:B18, "Fahim", D2:D18)</f>
        <v>710</v>
      </c>
    </row>
    <row r="11">
      <c r="A11" s="46"/>
      <c r="B11" s="57"/>
      <c r="C11" s="66"/>
      <c r="D11" s="57"/>
      <c r="F11" s="49" t="s">
        <v>13</v>
      </c>
      <c r="G11" s="45">
        <f>SUMIF(B2:B18, "Sadman", D2:D18)</f>
        <v>300</v>
      </c>
    </row>
    <row r="12">
      <c r="A12" s="46"/>
      <c r="B12" s="57"/>
      <c r="C12" s="66"/>
      <c r="D12" s="57"/>
      <c r="F12" s="49" t="s">
        <v>14</v>
      </c>
      <c r="G12" s="45">
        <f>SUMIF(B2:B18, "Hamim", D2:D18)</f>
        <v>0</v>
      </c>
    </row>
    <row r="13">
      <c r="A13" s="46"/>
      <c r="B13" s="57"/>
      <c r="C13" s="66"/>
      <c r="D13" s="57"/>
    </row>
    <row r="14">
      <c r="A14" s="46"/>
      <c r="B14" s="57"/>
      <c r="C14" s="66"/>
      <c r="D14" s="57"/>
    </row>
    <row r="15">
      <c r="A15" s="46"/>
      <c r="B15" s="57"/>
      <c r="C15" s="66"/>
      <c r="D15" s="57"/>
    </row>
    <row r="16">
      <c r="A16" s="46"/>
      <c r="B16" s="57"/>
      <c r="C16" s="66"/>
      <c r="D16" s="57"/>
    </row>
    <row r="17">
      <c r="A17" s="46"/>
      <c r="B17" s="57"/>
      <c r="C17" s="66"/>
      <c r="D17" s="57"/>
    </row>
    <row r="18">
      <c r="A18" s="46"/>
      <c r="B18" s="57"/>
      <c r="C18" s="66"/>
      <c r="D18" s="57"/>
    </row>
    <row r="19">
      <c r="A19" s="60"/>
      <c r="B19" s="59"/>
      <c r="C19" s="68"/>
      <c r="D19" s="53">
        <f>SUM(D2:D18)</f>
        <v>2643</v>
      </c>
    </row>
    <row r="20">
      <c r="C20" s="69"/>
    </row>
    <row r="21">
      <c r="C21" s="69"/>
    </row>
    <row r="22">
      <c r="C22" s="69"/>
    </row>
    <row r="23">
      <c r="C23" s="69"/>
    </row>
    <row r="24">
      <c r="C24" s="69"/>
    </row>
    <row r="25">
      <c r="C25" s="69"/>
    </row>
    <row r="26">
      <c r="C26" s="69"/>
    </row>
    <row r="27">
      <c r="C27" s="69"/>
    </row>
    <row r="28">
      <c r="C28" s="69"/>
    </row>
    <row r="29">
      <c r="C29" s="69"/>
    </row>
    <row r="30">
      <c r="C30" s="69"/>
    </row>
    <row r="31">
      <c r="C31" s="69"/>
    </row>
    <row r="32">
      <c r="C32" s="69"/>
    </row>
    <row r="33">
      <c r="C33" s="69"/>
    </row>
    <row r="34">
      <c r="C34" s="69"/>
    </row>
    <row r="35">
      <c r="C35" s="69"/>
    </row>
    <row r="36">
      <c r="C36" s="69"/>
    </row>
    <row r="37">
      <c r="C37" s="69"/>
    </row>
    <row r="38">
      <c r="C38" s="69"/>
    </row>
    <row r="39">
      <c r="C39" s="69"/>
    </row>
    <row r="40">
      <c r="C40" s="69"/>
    </row>
    <row r="41">
      <c r="C41" s="69"/>
    </row>
    <row r="42">
      <c r="C42" s="69"/>
    </row>
    <row r="43">
      <c r="C43" s="69"/>
    </row>
    <row r="44">
      <c r="C44" s="69"/>
    </row>
    <row r="45">
      <c r="C45" s="69"/>
    </row>
    <row r="46">
      <c r="C46" s="69"/>
    </row>
    <row r="47">
      <c r="C47" s="69"/>
    </row>
    <row r="48">
      <c r="C48" s="69"/>
    </row>
    <row r="49">
      <c r="C49" s="69"/>
    </row>
    <row r="50">
      <c r="C50" s="69"/>
    </row>
    <row r="51">
      <c r="C51" s="69"/>
    </row>
    <row r="52">
      <c r="C52" s="69"/>
    </row>
    <row r="53">
      <c r="C53" s="69"/>
    </row>
    <row r="54">
      <c r="C54" s="69"/>
    </row>
    <row r="55">
      <c r="C55" s="69"/>
    </row>
    <row r="56">
      <c r="C56" s="69"/>
    </row>
    <row r="57">
      <c r="C57" s="69"/>
    </row>
    <row r="58">
      <c r="C58" s="69"/>
    </row>
    <row r="59">
      <c r="C59" s="69"/>
    </row>
    <row r="60">
      <c r="C60" s="69"/>
    </row>
    <row r="61">
      <c r="C61" s="69"/>
    </row>
    <row r="62">
      <c r="C62" s="69"/>
    </row>
    <row r="63">
      <c r="C63" s="69"/>
    </row>
    <row r="64">
      <c r="C64" s="69"/>
    </row>
    <row r="65">
      <c r="C65" s="69"/>
    </row>
    <row r="66">
      <c r="C66" s="69"/>
    </row>
    <row r="67">
      <c r="C67" s="69"/>
    </row>
    <row r="68">
      <c r="C68" s="69"/>
    </row>
    <row r="69">
      <c r="C69" s="69"/>
    </row>
    <row r="70">
      <c r="C70" s="69"/>
    </row>
    <row r="71">
      <c r="C71" s="69"/>
    </row>
    <row r="72">
      <c r="C72" s="69"/>
    </row>
    <row r="73">
      <c r="C73" s="69"/>
    </row>
    <row r="74">
      <c r="C74" s="69"/>
    </row>
    <row r="75">
      <c r="C75" s="69"/>
    </row>
    <row r="76">
      <c r="C76" s="69"/>
    </row>
    <row r="77">
      <c r="C77" s="69"/>
    </row>
    <row r="78">
      <c r="C78" s="69"/>
    </row>
    <row r="79">
      <c r="C79" s="69"/>
    </row>
    <row r="80">
      <c r="C80" s="69"/>
    </row>
    <row r="81">
      <c r="C81" s="69"/>
    </row>
    <row r="82">
      <c r="C82" s="69"/>
    </row>
    <row r="83">
      <c r="C83" s="69"/>
    </row>
    <row r="84">
      <c r="C84" s="69"/>
    </row>
    <row r="85">
      <c r="C85" s="69"/>
    </row>
    <row r="86">
      <c r="C86" s="69"/>
    </row>
    <row r="87">
      <c r="C87" s="69"/>
    </row>
    <row r="88">
      <c r="C88" s="69"/>
    </row>
    <row r="89">
      <c r="C89" s="69"/>
    </row>
    <row r="90">
      <c r="C90" s="69"/>
    </row>
    <row r="91">
      <c r="C91" s="69"/>
    </row>
    <row r="92">
      <c r="C92" s="69"/>
    </row>
    <row r="93">
      <c r="C93" s="69"/>
    </row>
    <row r="94">
      <c r="C94" s="69"/>
    </row>
    <row r="95">
      <c r="C95" s="69"/>
    </row>
    <row r="96">
      <c r="C96" s="69"/>
    </row>
    <row r="97">
      <c r="C97" s="69"/>
    </row>
    <row r="98">
      <c r="C98" s="69"/>
    </row>
    <row r="99">
      <c r="C99" s="69"/>
    </row>
    <row r="100">
      <c r="C100" s="69"/>
    </row>
    <row r="101">
      <c r="C101" s="69"/>
    </row>
    <row r="102">
      <c r="C102" s="69"/>
    </row>
    <row r="103">
      <c r="C103" s="69"/>
    </row>
    <row r="104">
      <c r="C104" s="69"/>
    </row>
    <row r="105">
      <c r="C105" s="69"/>
    </row>
    <row r="106">
      <c r="C106" s="69"/>
    </row>
    <row r="107">
      <c r="C107" s="69"/>
    </row>
    <row r="108">
      <c r="C108" s="69"/>
    </row>
    <row r="109">
      <c r="C109" s="69"/>
    </row>
    <row r="110">
      <c r="C110" s="69"/>
    </row>
    <row r="111">
      <c r="C111" s="69"/>
    </row>
    <row r="112">
      <c r="C112" s="69"/>
    </row>
    <row r="113">
      <c r="C113" s="69"/>
    </row>
    <row r="114">
      <c r="C114" s="69"/>
    </row>
    <row r="115">
      <c r="C115" s="69"/>
    </row>
    <row r="116">
      <c r="C116" s="69"/>
    </row>
    <row r="117">
      <c r="C117" s="69"/>
    </row>
    <row r="118">
      <c r="C118" s="69"/>
    </row>
    <row r="119">
      <c r="C119" s="69"/>
    </row>
    <row r="120">
      <c r="C120" s="69"/>
    </row>
    <row r="121">
      <c r="C121" s="69"/>
    </row>
    <row r="122">
      <c r="C122" s="69"/>
    </row>
    <row r="123">
      <c r="C123" s="69"/>
    </row>
    <row r="124">
      <c r="C124" s="69"/>
    </row>
    <row r="125">
      <c r="C125" s="69"/>
    </row>
    <row r="126">
      <c r="C126" s="69"/>
    </row>
    <row r="127">
      <c r="C127" s="69"/>
    </row>
    <row r="128">
      <c r="C128" s="69"/>
    </row>
    <row r="129">
      <c r="C129" s="69"/>
    </row>
    <row r="130">
      <c r="C130" s="69"/>
    </row>
    <row r="131">
      <c r="C131" s="69"/>
    </row>
    <row r="132">
      <c r="C132" s="69"/>
    </row>
    <row r="133">
      <c r="C133" s="69"/>
    </row>
    <row r="134">
      <c r="C134" s="69"/>
    </row>
    <row r="135">
      <c r="C135" s="69"/>
    </row>
    <row r="136">
      <c r="C136" s="69"/>
    </row>
    <row r="137">
      <c r="C137" s="69"/>
    </row>
    <row r="138">
      <c r="C138" s="69"/>
    </row>
    <row r="139">
      <c r="C139" s="69"/>
    </row>
    <row r="140">
      <c r="C140" s="69"/>
    </row>
    <row r="141">
      <c r="C141" s="69"/>
    </row>
    <row r="142">
      <c r="C142" s="69"/>
    </row>
    <row r="143">
      <c r="C143" s="69"/>
    </row>
    <row r="144">
      <c r="C144" s="69"/>
    </row>
    <row r="145">
      <c r="C145" s="69"/>
    </row>
    <row r="146">
      <c r="C146" s="69"/>
    </row>
    <row r="147">
      <c r="C147" s="69"/>
    </row>
    <row r="148">
      <c r="C148" s="69"/>
    </row>
    <row r="149">
      <c r="C149" s="69"/>
    </row>
    <row r="150">
      <c r="C150" s="69"/>
    </row>
    <row r="151">
      <c r="C151" s="69"/>
    </row>
    <row r="152">
      <c r="C152" s="69"/>
    </row>
    <row r="153">
      <c r="C153" s="69"/>
    </row>
    <row r="154">
      <c r="C154" s="69"/>
    </row>
    <row r="155">
      <c r="C155" s="69"/>
    </row>
    <row r="156">
      <c r="C156" s="69"/>
    </row>
    <row r="157">
      <c r="C157" s="69"/>
    </row>
    <row r="158">
      <c r="C158" s="69"/>
    </row>
    <row r="159">
      <c r="C159" s="69"/>
    </row>
    <row r="160">
      <c r="C160" s="69"/>
    </row>
    <row r="161">
      <c r="C161" s="69"/>
    </row>
    <row r="162">
      <c r="C162" s="69"/>
    </row>
    <row r="163">
      <c r="C163" s="69"/>
    </row>
    <row r="164">
      <c r="C164" s="69"/>
    </row>
    <row r="165">
      <c r="C165" s="69"/>
    </row>
    <row r="166">
      <c r="C166" s="69"/>
    </row>
    <row r="167">
      <c r="C167" s="69"/>
    </row>
    <row r="168">
      <c r="C168" s="69"/>
    </row>
    <row r="169">
      <c r="C169" s="69"/>
    </row>
    <row r="170">
      <c r="C170" s="69"/>
    </row>
    <row r="171">
      <c r="C171" s="69"/>
    </row>
    <row r="172">
      <c r="C172" s="69"/>
    </row>
    <row r="173">
      <c r="C173" s="69"/>
    </row>
    <row r="174">
      <c r="C174" s="69"/>
    </row>
    <row r="175">
      <c r="C175" s="69"/>
    </row>
    <row r="176">
      <c r="C176" s="69"/>
    </row>
    <row r="177">
      <c r="C177" s="69"/>
    </row>
    <row r="178">
      <c r="C178" s="69"/>
    </row>
    <row r="179">
      <c r="C179" s="69"/>
    </row>
    <row r="180">
      <c r="C180" s="69"/>
    </row>
    <row r="181">
      <c r="C181" s="69"/>
    </row>
    <row r="182">
      <c r="C182" s="69"/>
    </row>
    <row r="183">
      <c r="C183" s="69"/>
    </row>
    <row r="184">
      <c r="C184" s="69"/>
    </row>
    <row r="185">
      <c r="C185" s="69"/>
    </row>
    <row r="186">
      <c r="C186" s="69"/>
    </row>
    <row r="187">
      <c r="C187" s="69"/>
    </row>
    <row r="188">
      <c r="C188" s="69"/>
    </row>
    <row r="189">
      <c r="C189" s="69"/>
    </row>
    <row r="190">
      <c r="C190" s="69"/>
    </row>
    <row r="191">
      <c r="C191" s="69"/>
    </row>
    <row r="192">
      <c r="C192" s="69"/>
    </row>
    <row r="193">
      <c r="C193" s="69"/>
    </row>
    <row r="194">
      <c r="C194" s="69"/>
    </row>
    <row r="195">
      <c r="C195" s="69"/>
    </row>
    <row r="196">
      <c r="C196" s="69"/>
    </row>
    <row r="197">
      <c r="C197" s="69"/>
    </row>
    <row r="198">
      <c r="C198" s="69"/>
    </row>
    <row r="199">
      <c r="C199" s="69"/>
    </row>
    <row r="200">
      <c r="C200" s="69"/>
    </row>
    <row r="201">
      <c r="C201" s="69"/>
    </row>
    <row r="202">
      <c r="C202" s="69"/>
    </row>
    <row r="203">
      <c r="C203" s="69"/>
    </row>
    <row r="204">
      <c r="C204" s="69"/>
    </row>
    <row r="205">
      <c r="C205" s="69"/>
    </row>
    <row r="206">
      <c r="C206" s="69"/>
    </row>
    <row r="207">
      <c r="C207" s="69"/>
    </row>
    <row r="208">
      <c r="C208" s="69"/>
    </row>
    <row r="209">
      <c r="C209" s="69"/>
    </row>
    <row r="210">
      <c r="C210" s="69"/>
    </row>
    <row r="211">
      <c r="C211" s="69"/>
    </row>
    <row r="212">
      <c r="C212" s="69"/>
    </row>
    <row r="213">
      <c r="C213" s="69"/>
    </row>
    <row r="214">
      <c r="C214" s="69"/>
    </row>
    <row r="215">
      <c r="C215" s="69"/>
    </row>
    <row r="216">
      <c r="C216" s="69"/>
    </row>
    <row r="217">
      <c r="C217" s="69"/>
    </row>
    <row r="218">
      <c r="C218" s="69"/>
    </row>
    <row r="219">
      <c r="C219" s="69"/>
    </row>
    <row r="220">
      <c r="C220" s="69"/>
    </row>
    <row r="221">
      <c r="C221" s="69"/>
    </row>
    <row r="222">
      <c r="C222" s="69"/>
    </row>
    <row r="223">
      <c r="C223" s="69"/>
    </row>
    <row r="224">
      <c r="C224" s="69"/>
    </row>
    <row r="225">
      <c r="C225" s="69"/>
    </row>
    <row r="226">
      <c r="C226" s="69"/>
    </row>
    <row r="227">
      <c r="C227" s="69"/>
    </row>
    <row r="228">
      <c r="C228" s="69"/>
    </row>
    <row r="229">
      <c r="C229" s="69"/>
    </row>
    <row r="230">
      <c r="C230" s="69"/>
    </row>
    <row r="231">
      <c r="C231" s="69"/>
    </row>
    <row r="232">
      <c r="C232" s="69"/>
    </row>
    <row r="233">
      <c r="C233" s="69"/>
    </row>
    <row r="234">
      <c r="C234" s="69"/>
    </row>
    <row r="235">
      <c r="C235" s="69"/>
    </row>
    <row r="236">
      <c r="C236" s="69"/>
    </row>
    <row r="237">
      <c r="C237" s="69"/>
    </row>
    <row r="238">
      <c r="C238" s="69"/>
    </row>
    <row r="239">
      <c r="C239" s="69"/>
    </row>
    <row r="240">
      <c r="C240" s="69"/>
    </row>
    <row r="241">
      <c r="C241" s="69"/>
    </row>
    <row r="242">
      <c r="C242" s="69"/>
    </row>
    <row r="243">
      <c r="C243" s="69"/>
    </row>
    <row r="244">
      <c r="C244" s="69"/>
    </row>
    <row r="245">
      <c r="C245" s="69"/>
    </row>
    <row r="246">
      <c r="C246" s="69"/>
    </row>
    <row r="247">
      <c r="C247" s="69"/>
    </row>
    <row r="248">
      <c r="C248" s="69"/>
    </row>
    <row r="249">
      <c r="C249" s="69"/>
    </row>
    <row r="250">
      <c r="C250" s="69"/>
    </row>
    <row r="251">
      <c r="C251" s="69"/>
    </row>
    <row r="252">
      <c r="C252" s="69"/>
    </row>
    <row r="253">
      <c r="C253" s="69"/>
    </row>
    <row r="254">
      <c r="C254" s="69"/>
    </row>
    <row r="255">
      <c r="C255" s="69"/>
    </row>
    <row r="256">
      <c r="C256" s="69"/>
    </row>
    <row r="257">
      <c r="C257" s="69"/>
    </row>
    <row r="258">
      <c r="C258" s="69"/>
    </row>
    <row r="259">
      <c r="C259" s="69"/>
    </row>
    <row r="260">
      <c r="C260" s="69"/>
    </row>
    <row r="261">
      <c r="C261" s="69"/>
    </row>
    <row r="262">
      <c r="C262" s="69"/>
    </row>
    <row r="263">
      <c r="C263" s="69"/>
    </row>
    <row r="264">
      <c r="C264" s="69"/>
    </row>
    <row r="265">
      <c r="C265" s="69"/>
    </row>
    <row r="266">
      <c r="C266" s="69"/>
    </row>
    <row r="267">
      <c r="C267" s="69"/>
    </row>
    <row r="268">
      <c r="C268" s="69"/>
    </row>
    <row r="269">
      <c r="C269" s="69"/>
    </row>
    <row r="270">
      <c r="C270" s="69"/>
    </row>
    <row r="271">
      <c r="C271" s="69"/>
    </row>
    <row r="272">
      <c r="C272" s="69"/>
    </row>
    <row r="273">
      <c r="C273" s="69"/>
    </row>
    <row r="274">
      <c r="C274" s="69"/>
    </row>
    <row r="275">
      <c r="C275" s="69"/>
    </row>
    <row r="276">
      <c r="C276" s="69"/>
    </row>
    <row r="277">
      <c r="C277" s="69"/>
    </row>
    <row r="278">
      <c r="C278" s="69"/>
    </row>
    <row r="279">
      <c r="C279" s="69"/>
    </row>
    <row r="280">
      <c r="C280" s="69"/>
    </row>
    <row r="281">
      <c r="C281" s="69"/>
    </row>
    <row r="282">
      <c r="C282" s="69"/>
    </row>
    <row r="283">
      <c r="C283" s="69"/>
    </row>
    <row r="284">
      <c r="C284" s="69"/>
    </row>
    <row r="285">
      <c r="C285" s="69"/>
    </row>
    <row r="286">
      <c r="C286" s="69"/>
    </row>
    <row r="287">
      <c r="C287" s="69"/>
    </row>
    <row r="288">
      <c r="C288" s="69"/>
    </row>
    <row r="289">
      <c r="C289" s="69"/>
    </row>
    <row r="290">
      <c r="C290" s="69"/>
    </row>
    <row r="291">
      <c r="C291" s="69"/>
    </row>
    <row r="292">
      <c r="C292" s="69"/>
    </row>
    <row r="293">
      <c r="C293" s="69"/>
    </row>
    <row r="294">
      <c r="C294" s="69"/>
    </row>
    <row r="295">
      <c r="C295" s="69"/>
    </row>
    <row r="296">
      <c r="C296" s="69"/>
    </row>
    <row r="297">
      <c r="C297" s="69"/>
    </row>
    <row r="298">
      <c r="C298" s="69"/>
    </row>
    <row r="299">
      <c r="C299" s="69"/>
    </row>
    <row r="300">
      <c r="C300" s="69"/>
    </row>
    <row r="301">
      <c r="C301" s="69"/>
    </row>
    <row r="302">
      <c r="C302" s="69"/>
    </row>
    <row r="303">
      <c r="C303" s="69"/>
    </row>
    <row r="304">
      <c r="C304" s="69"/>
    </row>
    <row r="305">
      <c r="C305" s="69"/>
    </row>
    <row r="306">
      <c r="C306" s="69"/>
    </row>
    <row r="307">
      <c r="C307" s="69"/>
    </row>
    <row r="308">
      <c r="C308" s="69"/>
    </row>
    <row r="309">
      <c r="C309" s="69"/>
    </row>
    <row r="310">
      <c r="C310" s="69"/>
    </row>
    <row r="311">
      <c r="C311" s="69"/>
    </row>
    <row r="312">
      <c r="C312" s="69"/>
    </row>
    <row r="313">
      <c r="C313" s="69"/>
    </row>
    <row r="314">
      <c r="C314" s="69"/>
    </row>
    <row r="315">
      <c r="C315" s="69"/>
    </row>
    <row r="316">
      <c r="C316" s="69"/>
    </row>
    <row r="317">
      <c r="C317" s="69"/>
    </row>
    <row r="318">
      <c r="C318" s="69"/>
    </row>
    <row r="319">
      <c r="C319" s="69"/>
    </row>
    <row r="320">
      <c r="C320" s="69"/>
    </row>
    <row r="321">
      <c r="C321" s="69"/>
    </row>
    <row r="322">
      <c r="C322" s="69"/>
    </row>
    <row r="323">
      <c r="C323" s="69"/>
    </row>
    <row r="324">
      <c r="C324" s="69"/>
    </row>
    <row r="325">
      <c r="C325" s="69"/>
    </row>
    <row r="326">
      <c r="C326" s="69"/>
    </row>
    <row r="327">
      <c r="C327" s="69"/>
    </row>
    <row r="328">
      <c r="C328" s="69"/>
    </row>
    <row r="329">
      <c r="C329" s="69"/>
    </row>
    <row r="330">
      <c r="C330" s="69"/>
    </row>
    <row r="331">
      <c r="C331" s="69"/>
    </row>
    <row r="332">
      <c r="C332" s="69"/>
    </row>
    <row r="333">
      <c r="C333" s="69"/>
    </row>
    <row r="334">
      <c r="C334" s="69"/>
    </row>
    <row r="335">
      <c r="C335" s="69"/>
    </row>
    <row r="336">
      <c r="C336" s="69"/>
    </row>
    <row r="337">
      <c r="C337" s="69"/>
    </row>
    <row r="338">
      <c r="C338" s="69"/>
    </row>
    <row r="339">
      <c r="C339" s="69"/>
    </row>
    <row r="340">
      <c r="C340" s="69"/>
    </row>
    <row r="341">
      <c r="C341" s="69"/>
    </row>
    <row r="342">
      <c r="C342" s="69"/>
    </row>
    <row r="343">
      <c r="C343" s="69"/>
    </row>
    <row r="344">
      <c r="C344" s="69"/>
    </row>
    <row r="345">
      <c r="C345" s="69"/>
    </row>
    <row r="346">
      <c r="C346" s="69"/>
    </row>
    <row r="347">
      <c r="C347" s="69"/>
    </row>
    <row r="348">
      <c r="C348" s="69"/>
    </row>
    <row r="349">
      <c r="C349" s="69"/>
    </row>
    <row r="350">
      <c r="C350" s="69"/>
    </row>
    <row r="351">
      <c r="C351" s="69"/>
    </row>
    <row r="352">
      <c r="C352" s="69"/>
    </row>
    <row r="353">
      <c r="C353" s="69"/>
    </row>
    <row r="354">
      <c r="C354" s="69"/>
    </row>
    <row r="355">
      <c r="C355" s="69"/>
    </row>
    <row r="356">
      <c r="C356" s="69"/>
    </row>
    <row r="357">
      <c r="C357" s="69"/>
    </row>
    <row r="358">
      <c r="C358" s="69"/>
    </row>
    <row r="359">
      <c r="C359" s="69"/>
    </row>
    <row r="360">
      <c r="C360" s="69"/>
    </row>
    <row r="361">
      <c r="C361" s="69"/>
    </row>
    <row r="362">
      <c r="C362" s="69"/>
    </row>
    <row r="363">
      <c r="C363" s="69"/>
    </row>
    <row r="364">
      <c r="C364" s="69"/>
    </row>
    <row r="365">
      <c r="C365" s="69"/>
    </row>
    <row r="366">
      <c r="C366" s="69"/>
    </row>
    <row r="367">
      <c r="C367" s="69"/>
    </row>
    <row r="368">
      <c r="C368" s="69"/>
    </row>
    <row r="369">
      <c r="C369" s="69"/>
    </row>
    <row r="370">
      <c r="C370" s="69"/>
    </row>
    <row r="371">
      <c r="C371" s="69"/>
    </row>
    <row r="372">
      <c r="C372" s="69"/>
    </row>
    <row r="373">
      <c r="C373" s="69"/>
    </row>
    <row r="374">
      <c r="C374" s="69"/>
    </row>
    <row r="375">
      <c r="C375" s="69"/>
    </row>
    <row r="376">
      <c r="C376" s="69"/>
    </row>
    <row r="377">
      <c r="C377" s="69"/>
    </row>
    <row r="378">
      <c r="C378" s="69"/>
    </row>
    <row r="379">
      <c r="C379" s="69"/>
    </row>
    <row r="380">
      <c r="C380" s="69"/>
    </row>
    <row r="381">
      <c r="C381" s="69"/>
    </row>
    <row r="382">
      <c r="C382" s="69"/>
    </row>
    <row r="383">
      <c r="C383" s="69"/>
    </row>
    <row r="384">
      <c r="C384" s="69"/>
    </row>
    <row r="385">
      <c r="C385" s="69"/>
    </row>
    <row r="386">
      <c r="C386" s="69"/>
    </row>
    <row r="387">
      <c r="C387" s="69"/>
    </row>
    <row r="388">
      <c r="C388" s="69"/>
    </row>
    <row r="389">
      <c r="C389" s="69"/>
    </row>
    <row r="390">
      <c r="C390" s="69"/>
    </row>
    <row r="391">
      <c r="C391" s="69"/>
    </row>
    <row r="392">
      <c r="C392" s="69"/>
    </row>
    <row r="393">
      <c r="C393" s="69"/>
    </row>
    <row r="394">
      <c r="C394" s="69"/>
    </row>
    <row r="395">
      <c r="C395" s="69"/>
    </row>
    <row r="396">
      <c r="C396" s="69"/>
    </row>
    <row r="397">
      <c r="C397" s="69"/>
    </row>
    <row r="398">
      <c r="C398" s="69"/>
    </row>
    <row r="399">
      <c r="C399" s="69"/>
    </row>
    <row r="400">
      <c r="C400" s="69"/>
    </row>
    <row r="401">
      <c r="C401" s="69"/>
    </row>
    <row r="402">
      <c r="C402" s="69"/>
    </row>
    <row r="403">
      <c r="C403" s="69"/>
    </row>
    <row r="404">
      <c r="C404" s="69"/>
    </row>
    <row r="405">
      <c r="C405" s="69"/>
    </row>
    <row r="406">
      <c r="C406" s="69"/>
    </row>
    <row r="407">
      <c r="C407" s="69"/>
    </row>
    <row r="408">
      <c r="C408" s="69"/>
    </row>
    <row r="409">
      <c r="C409" s="69"/>
    </row>
    <row r="410">
      <c r="C410" s="69"/>
    </row>
    <row r="411">
      <c r="C411" s="69"/>
    </row>
    <row r="412">
      <c r="C412" s="69"/>
    </row>
    <row r="413">
      <c r="C413" s="69"/>
    </row>
    <row r="414">
      <c r="C414" s="69"/>
    </row>
    <row r="415">
      <c r="C415" s="69"/>
    </row>
    <row r="416">
      <c r="C416" s="69"/>
    </row>
    <row r="417">
      <c r="C417" s="69"/>
    </row>
    <row r="418">
      <c r="C418" s="69"/>
    </row>
    <row r="419">
      <c r="C419" s="69"/>
    </row>
    <row r="420">
      <c r="C420" s="69"/>
    </row>
    <row r="421">
      <c r="C421" s="69"/>
    </row>
    <row r="422">
      <c r="C422" s="69"/>
    </row>
    <row r="423">
      <c r="C423" s="69"/>
    </row>
    <row r="424">
      <c r="C424" s="69"/>
    </row>
    <row r="425">
      <c r="C425" s="69"/>
    </row>
    <row r="426">
      <c r="C426" s="69"/>
    </row>
    <row r="427">
      <c r="C427" s="69"/>
    </row>
    <row r="428">
      <c r="C428" s="69"/>
    </row>
    <row r="429">
      <c r="C429" s="69"/>
    </row>
    <row r="430">
      <c r="C430" s="69"/>
    </row>
    <row r="431">
      <c r="C431" s="69"/>
    </row>
    <row r="432">
      <c r="C432" s="69"/>
    </row>
    <row r="433">
      <c r="C433" s="69"/>
    </row>
    <row r="434">
      <c r="C434" s="69"/>
    </row>
    <row r="435">
      <c r="C435" s="69"/>
    </row>
    <row r="436">
      <c r="C436" s="69"/>
    </row>
    <row r="437">
      <c r="C437" s="69"/>
    </row>
    <row r="438">
      <c r="C438" s="69"/>
    </row>
    <row r="439">
      <c r="C439" s="69"/>
    </row>
    <row r="440">
      <c r="C440" s="69"/>
    </row>
    <row r="441">
      <c r="C441" s="69"/>
    </row>
    <row r="442">
      <c r="C442" s="69"/>
    </row>
    <row r="443">
      <c r="C443" s="69"/>
    </row>
    <row r="444">
      <c r="C444" s="69"/>
    </row>
    <row r="445">
      <c r="C445" s="69"/>
    </row>
    <row r="446">
      <c r="C446" s="69"/>
    </row>
    <row r="447">
      <c r="C447" s="69"/>
    </row>
    <row r="448">
      <c r="C448" s="69"/>
    </row>
    <row r="449">
      <c r="C449" s="69"/>
    </row>
    <row r="450">
      <c r="C450" s="69"/>
    </row>
    <row r="451">
      <c r="C451" s="69"/>
    </row>
    <row r="452">
      <c r="C452" s="69"/>
    </row>
    <row r="453">
      <c r="C453" s="69"/>
    </row>
    <row r="454">
      <c r="C454" s="69"/>
    </row>
    <row r="455">
      <c r="C455" s="69"/>
    </row>
    <row r="456">
      <c r="C456" s="69"/>
    </row>
    <row r="457">
      <c r="C457" s="69"/>
    </row>
    <row r="458">
      <c r="C458" s="69"/>
    </row>
    <row r="459">
      <c r="C459" s="69"/>
    </row>
    <row r="460">
      <c r="C460" s="69"/>
    </row>
    <row r="461">
      <c r="C461" s="69"/>
    </row>
    <row r="462">
      <c r="C462" s="69"/>
    </row>
    <row r="463">
      <c r="C463" s="69"/>
    </row>
    <row r="464">
      <c r="C464" s="69"/>
    </row>
    <row r="465">
      <c r="C465" s="69"/>
    </row>
    <row r="466">
      <c r="C466" s="69"/>
    </row>
    <row r="467">
      <c r="C467" s="69"/>
    </row>
    <row r="468">
      <c r="C468" s="69"/>
    </row>
    <row r="469">
      <c r="C469" s="69"/>
    </row>
    <row r="470">
      <c r="C470" s="69"/>
    </row>
    <row r="471">
      <c r="C471" s="69"/>
    </row>
    <row r="472">
      <c r="C472" s="69"/>
    </row>
    <row r="473">
      <c r="C473" s="69"/>
    </row>
    <row r="474">
      <c r="C474" s="69"/>
    </row>
    <row r="475">
      <c r="C475" s="69"/>
    </row>
    <row r="476">
      <c r="C476" s="69"/>
    </row>
    <row r="477">
      <c r="C477" s="69"/>
    </row>
    <row r="478">
      <c r="C478" s="69"/>
    </row>
    <row r="479">
      <c r="C479" s="69"/>
    </row>
    <row r="480">
      <c r="C480" s="69"/>
    </row>
    <row r="481">
      <c r="C481" s="69"/>
    </row>
    <row r="482">
      <c r="C482" s="69"/>
    </row>
    <row r="483">
      <c r="C483" s="69"/>
    </row>
    <row r="484">
      <c r="C484" s="69"/>
    </row>
    <row r="485">
      <c r="C485" s="69"/>
    </row>
    <row r="486">
      <c r="C486" s="69"/>
    </row>
    <row r="487">
      <c r="C487" s="69"/>
    </row>
    <row r="488">
      <c r="C488" s="69"/>
    </row>
    <row r="489">
      <c r="C489" s="69"/>
    </row>
    <row r="490">
      <c r="C490" s="69"/>
    </row>
    <row r="491">
      <c r="C491" s="69"/>
    </row>
    <row r="492">
      <c r="C492" s="69"/>
    </row>
    <row r="493">
      <c r="C493" s="69"/>
    </row>
    <row r="494">
      <c r="C494" s="69"/>
    </row>
    <row r="495">
      <c r="C495" s="69"/>
    </row>
    <row r="496">
      <c r="C496" s="69"/>
    </row>
    <row r="497">
      <c r="C497" s="69"/>
    </row>
    <row r="498">
      <c r="C498" s="69"/>
    </row>
    <row r="499">
      <c r="C499" s="69"/>
    </row>
    <row r="500">
      <c r="C500" s="69"/>
    </row>
    <row r="501">
      <c r="C501" s="69"/>
    </row>
    <row r="502">
      <c r="C502" s="69"/>
    </row>
    <row r="503">
      <c r="C503" s="69"/>
    </row>
    <row r="504">
      <c r="C504" s="69"/>
    </row>
    <row r="505">
      <c r="C505" s="69"/>
    </row>
    <row r="506">
      <c r="C506" s="69"/>
    </row>
    <row r="507">
      <c r="C507" s="69"/>
    </row>
    <row r="508">
      <c r="C508" s="69"/>
    </row>
    <row r="509">
      <c r="C509" s="69"/>
    </row>
    <row r="510">
      <c r="C510" s="69"/>
    </row>
    <row r="511">
      <c r="C511" s="69"/>
    </row>
    <row r="512">
      <c r="C512" s="69"/>
    </row>
    <row r="513">
      <c r="C513" s="69"/>
    </row>
    <row r="514">
      <c r="C514" s="69"/>
    </row>
    <row r="515">
      <c r="C515" s="69"/>
    </row>
    <row r="516">
      <c r="C516" s="69"/>
    </row>
    <row r="517">
      <c r="C517" s="69"/>
    </row>
    <row r="518">
      <c r="C518" s="69"/>
    </row>
    <row r="519">
      <c r="C519" s="69"/>
    </row>
    <row r="520">
      <c r="C520" s="69"/>
    </row>
    <row r="521">
      <c r="C521" s="69"/>
    </row>
    <row r="522">
      <c r="C522" s="69"/>
    </row>
    <row r="523">
      <c r="C523" s="69"/>
    </row>
    <row r="524">
      <c r="C524" s="69"/>
    </row>
    <row r="525">
      <c r="C525" s="69"/>
    </row>
    <row r="526">
      <c r="C526" s="69"/>
    </row>
    <row r="527">
      <c r="C527" s="69"/>
    </row>
    <row r="528">
      <c r="C528" s="69"/>
    </row>
    <row r="529">
      <c r="C529" s="69"/>
    </row>
    <row r="530">
      <c r="C530" s="69"/>
    </row>
    <row r="531">
      <c r="C531" s="69"/>
    </row>
    <row r="532">
      <c r="C532" s="69"/>
    </row>
    <row r="533">
      <c r="C533" s="69"/>
    </row>
    <row r="534">
      <c r="C534" s="69"/>
    </row>
    <row r="535">
      <c r="C535" s="69"/>
    </row>
    <row r="536">
      <c r="C536" s="69"/>
    </row>
    <row r="537">
      <c r="C537" s="69"/>
    </row>
    <row r="538">
      <c r="C538" s="69"/>
    </row>
    <row r="539">
      <c r="C539" s="69"/>
    </row>
    <row r="540">
      <c r="C540" s="69"/>
    </row>
    <row r="541">
      <c r="C541" s="69"/>
    </row>
    <row r="542">
      <c r="C542" s="69"/>
    </row>
    <row r="543">
      <c r="C543" s="69"/>
    </row>
    <row r="544">
      <c r="C544" s="69"/>
    </row>
    <row r="545">
      <c r="C545" s="69"/>
    </row>
    <row r="546">
      <c r="C546" s="69"/>
    </row>
    <row r="547">
      <c r="C547" s="69"/>
    </row>
    <row r="548">
      <c r="C548" s="69"/>
    </row>
    <row r="549">
      <c r="C549" s="69"/>
    </row>
    <row r="550">
      <c r="C550" s="69"/>
    </row>
    <row r="551">
      <c r="C551" s="69"/>
    </row>
    <row r="552">
      <c r="C552" s="69"/>
    </row>
    <row r="553">
      <c r="C553" s="69"/>
    </row>
    <row r="554">
      <c r="C554" s="69"/>
    </row>
    <row r="555">
      <c r="C555" s="69"/>
    </row>
    <row r="556">
      <c r="C556" s="69"/>
    </row>
    <row r="557">
      <c r="C557" s="69"/>
    </row>
    <row r="558">
      <c r="C558" s="69"/>
    </row>
    <row r="559">
      <c r="C559" s="69"/>
    </row>
    <row r="560">
      <c r="C560" s="69"/>
    </row>
    <row r="561">
      <c r="C561" s="69"/>
    </row>
    <row r="562">
      <c r="C562" s="69"/>
    </row>
    <row r="563">
      <c r="C563" s="69"/>
    </row>
    <row r="564">
      <c r="C564" s="69"/>
    </row>
    <row r="565">
      <c r="C565" s="69"/>
    </row>
    <row r="566">
      <c r="C566" s="69"/>
    </row>
    <row r="567">
      <c r="C567" s="69"/>
    </row>
    <row r="568">
      <c r="C568" s="69"/>
    </row>
    <row r="569">
      <c r="C569" s="69"/>
    </row>
    <row r="570">
      <c r="C570" s="69"/>
    </row>
    <row r="571">
      <c r="C571" s="69"/>
    </row>
    <row r="572">
      <c r="C572" s="69"/>
    </row>
    <row r="573">
      <c r="C573" s="69"/>
    </row>
    <row r="574">
      <c r="C574" s="69"/>
    </row>
    <row r="575">
      <c r="C575" s="69"/>
    </row>
    <row r="576">
      <c r="C576" s="69"/>
    </row>
    <row r="577">
      <c r="C577" s="69"/>
    </row>
    <row r="578">
      <c r="C578" s="69"/>
    </row>
    <row r="579">
      <c r="C579" s="69"/>
    </row>
    <row r="580">
      <c r="C580" s="69"/>
    </row>
    <row r="581">
      <c r="C581" s="69"/>
    </row>
    <row r="582">
      <c r="C582" s="69"/>
    </row>
    <row r="583">
      <c r="C583" s="69"/>
    </row>
    <row r="584">
      <c r="C584" s="69"/>
    </row>
    <row r="585">
      <c r="C585" s="69"/>
    </row>
    <row r="586">
      <c r="C586" s="69"/>
    </row>
    <row r="587">
      <c r="C587" s="69"/>
    </row>
    <row r="588">
      <c r="C588" s="69"/>
    </row>
    <row r="589">
      <c r="C589" s="69"/>
    </row>
    <row r="590">
      <c r="C590" s="69"/>
    </row>
    <row r="591">
      <c r="C591" s="69"/>
    </row>
    <row r="592">
      <c r="C592" s="69"/>
    </row>
    <row r="593">
      <c r="C593" s="69"/>
    </row>
    <row r="594">
      <c r="C594" s="69"/>
    </row>
    <row r="595">
      <c r="C595" s="69"/>
    </row>
    <row r="596">
      <c r="C596" s="69"/>
    </row>
    <row r="597">
      <c r="C597" s="69"/>
    </row>
    <row r="598">
      <c r="C598" s="69"/>
    </row>
    <row r="599">
      <c r="C599" s="69"/>
    </row>
    <row r="600">
      <c r="C600" s="69"/>
    </row>
    <row r="601">
      <c r="C601" s="69"/>
    </row>
    <row r="602">
      <c r="C602" s="69"/>
    </row>
    <row r="603">
      <c r="C603" s="69"/>
    </row>
    <row r="604">
      <c r="C604" s="69"/>
    </row>
    <row r="605">
      <c r="C605" s="69"/>
    </row>
    <row r="606">
      <c r="C606" s="69"/>
    </row>
    <row r="607">
      <c r="C607" s="69"/>
    </row>
    <row r="608">
      <c r="C608" s="69"/>
    </row>
    <row r="609">
      <c r="C609" s="69"/>
    </row>
    <row r="610">
      <c r="C610" s="69"/>
    </row>
    <row r="611">
      <c r="C611" s="69"/>
    </row>
    <row r="612">
      <c r="C612" s="69"/>
    </row>
    <row r="613">
      <c r="C613" s="69"/>
    </row>
    <row r="614">
      <c r="C614" s="69"/>
    </row>
    <row r="615">
      <c r="C615" s="69"/>
    </row>
    <row r="616">
      <c r="C616" s="69"/>
    </row>
    <row r="617">
      <c r="C617" s="69"/>
    </row>
    <row r="618">
      <c r="C618" s="69"/>
    </row>
    <row r="619">
      <c r="C619" s="69"/>
    </row>
    <row r="620">
      <c r="C620" s="69"/>
    </row>
    <row r="621">
      <c r="C621" s="69"/>
    </row>
    <row r="622">
      <c r="C622" s="69"/>
    </row>
    <row r="623">
      <c r="C623" s="69"/>
    </row>
    <row r="624">
      <c r="C624" s="69"/>
    </row>
    <row r="625">
      <c r="C625" s="69"/>
    </row>
    <row r="626">
      <c r="C626" s="69"/>
    </row>
    <row r="627">
      <c r="C627" s="69"/>
    </row>
    <row r="628">
      <c r="C628" s="69"/>
    </row>
    <row r="629">
      <c r="C629" s="69"/>
    </row>
    <row r="630">
      <c r="C630" s="69"/>
    </row>
    <row r="631">
      <c r="C631" s="69"/>
    </row>
    <row r="632">
      <c r="C632" s="69"/>
    </row>
    <row r="633">
      <c r="C633" s="69"/>
    </row>
    <row r="634">
      <c r="C634" s="69"/>
    </row>
    <row r="635">
      <c r="C635" s="69"/>
    </row>
    <row r="636">
      <c r="C636" s="69"/>
    </row>
    <row r="637">
      <c r="C637" s="69"/>
    </row>
    <row r="638">
      <c r="C638" s="69"/>
    </row>
    <row r="639">
      <c r="C639" s="69"/>
    </row>
    <row r="640">
      <c r="C640" s="69"/>
    </row>
    <row r="641">
      <c r="C641" s="69"/>
    </row>
    <row r="642">
      <c r="C642" s="69"/>
    </row>
    <row r="643">
      <c r="C643" s="69"/>
    </row>
    <row r="644">
      <c r="C644" s="69"/>
    </row>
    <row r="645">
      <c r="C645" s="69"/>
    </row>
    <row r="646">
      <c r="C646" s="69"/>
    </row>
    <row r="647">
      <c r="C647" s="69"/>
    </row>
    <row r="648">
      <c r="C648" s="69"/>
    </row>
    <row r="649">
      <c r="C649" s="69"/>
    </row>
    <row r="650">
      <c r="C650" s="69"/>
    </row>
    <row r="651">
      <c r="C651" s="69"/>
    </row>
    <row r="652">
      <c r="C652" s="69"/>
    </row>
    <row r="653">
      <c r="C653" s="69"/>
    </row>
    <row r="654">
      <c r="C654" s="69"/>
    </row>
    <row r="655">
      <c r="C655" s="69"/>
    </row>
    <row r="656">
      <c r="C656" s="69"/>
    </row>
    <row r="657">
      <c r="C657" s="69"/>
    </row>
    <row r="658">
      <c r="C658" s="69"/>
    </row>
    <row r="659">
      <c r="C659" s="69"/>
    </row>
    <row r="660">
      <c r="C660" s="69"/>
    </row>
    <row r="661">
      <c r="C661" s="69"/>
    </row>
    <row r="662">
      <c r="C662" s="69"/>
    </row>
    <row r="663">
      <c r="C663" s="69"/>
    </row>
    <row r="664">
      <c r="C664" s="69"/>
    </row>
    <row r="665">
      <c r="C665" s="69"/>
    </row>
    <row r="666">
      <c r="C666" s="69"/>
    </row>
    <row r="667">
      <c r="C667" s="69"/>
    </row>
    <row r="668">
      <c r="C668" s="69"/>
    </row>
    <row r="669">
      <c r="C669" s="69"/>
    </row>
    <row r="670">
      <c r="C670" s="69"/>
    </row>
    <row r="671">
      <c r="C671" s="69"/>
    </row>
    <row r="672">
      <c r="C672" s="69"/>
    </row>
    <row r="673">
      <c r="C673" s="69"/>
    </row>
    <row r="674">
      <c r="C674" s="69"/>
    </row>
    <row r="675">
      <c r="C675" s="69"/>
    </row>
    <row r="676">
      <c r="C676" s="69"/>
    </row>
    <row r="677">
      <c r="C677" s="69"/>
    </row>
    <row r="678">
      <c r="C678" s="69"/>
    </row>
    <row r="679">
      <c r="C679" s="69"/>
    </row>
    <row r="680">
      <c r="C680" s="69"/>
    </row>
    <row r="681">
      <c r="C681" s="69"/>
    </row>
    <row r="682">
      <c r="C682" s="69"/>
    </row>
    <row r="683">
      <c r="C683" s="69"/>
    </row>
    <row r="684">
      <c r="C684" s="69"/>
    </row>
    <row r="685">
      <c r="C685" s="69"/>
    </row>
    <row r="686">
      <c r="C686" s="69"/>
    </row>
    <row r="687">
      <c r="C687" s="69"/>
    </row>
    <row r="688">
      <c r="C688" s="69"/>
    </row>
    <row r="689">
      <c r="C689" s="69"/>
    </row>
    <row r="690">
      <c r="C690" s="69"/>
    </row>
    <row r="691">
      <c r="C691" s="69"/>
    </row>
    <row r="692">
      <c r="C692" s="69"/>
    </row>
    <row r="693">
      <c r="C693" s="69"/>
    </row>
    <row r="694">
      <c r="C694" s="69"/>
    </row>
    <row r="695">
      <c r="C695" s="69"/>
    </row>
    <row r="696">
      <c r="C696" s="69"/>
    </row>
    <row r="697">
      <c r="C697" s="69"/>
    </row>
    <row r="698">
      <c r="C698" s="69"/>
    </row>
    <row r="699">
      <c r="C699" s="69"/>
    </row>
    <row r="700">
      <c r="C700" s="69"/>
    </row>
    <row r="701">
      <c r="C701" s="69"/>
    </row>
    <row r="702">
      <c r="C702" s="69"/>
    </row>
    <row r="703">
      <c r="C703" s="69"/>
    </row>
    <row r="704">
      <c r="C704" s="69"/>
    </row>
    <row r="705">
      <c r="C705" s="69"/>
    </row>
    <row r="706">
      <c r="C706" s="69"/>
    </row>
    <row r="707">
      <c r="C707" s="69"/>
    </row>
    <row r="708">
      <c r="C708" s="69"/>
    </row>
    <row r="709">
      <c r="C709" s="69"/>
    </row>
    <row r="710">
      <c r="C710" s="69"/>
    </row>
    <row r="711">
      <c r="C711" s="69"/>
    </row>
    <row r="712">
      <c r="C712" s="69"/>
    </row>
    <row r="713">
      <c r="C713" s="69"/>
    </row>
    <row r="714">
      <c r="C714" s="69"/>
    </row>
    <row r="715">
      <c r="C715" s="69"/>
    </row>
    <row r="716">
      <c r="C716" s="69"/>
    </row>
    <row r="717">
      <c r="C717" s="69"/>
    </row>
    <row r="718">
      <c r="C718" s="69"/>
    </row>
    <row r="719">
      <c r="C719" s="69"/>
    </row>
    <row r="720">
      <c r="C720" s="69"/>
    </row>
    <row r="721">
      <c r="C721" s="69"/>
    </row>
    <row r="722">
      <c r="C722" s="69"/>
    </row>
    <row r="723">
      <c r="C723" s="69"/>
    </row>
    <row r="724">
      <c r="C724" s="69"/>
    </row>
    <row r="725">
      <c r="C725" s="69"/>
    </row>
    <row r="726">
      <c r="C726" s="69"/>
    </row>
    <row r="727">
      <c r="C727" s="69"/>
    </row>
    <row r="728">
      <c r="C728" s="69"/>
    </row>
    <row r="729">
      <c r="C729" s="69"/>
    </row>
    <row r="730">
      <c r="C730" s="69"/>
    </row>
    <row r="731">
      <c r="C731" s="69"/>
    </row>
    <row r="732">
      <c r="C732" s="69"/>
    </row>
    <row r="733">
      <c r="C733" s="69"/>
    </row>
    <row r="734">
      <c r="C734" s="69"/>
    </row>
    <row r="735">
      <c r="C735" s="69"/>
    </row>
    <row r="736">
      <c r="C736" s="69"/>
    </row>
    <row r="737">
      <c r="C737" s="69"/>
    </row>
    <row r="738">
      <c r="C738" s="69"/>
    </row>
    <row r="739">
      <c r="C739" s="69"/>
    </row>
    <row r="740">
      <c r="C740" s="69"/>
    </row>
    <row r="741">
      <c r="C741" s="69"/>
    </row>
    <row r="742">
      <c r="C742" s="69"/>
    </row>
    <row r="743">
      <c r="C743" s="69"/>
    </row>
    <row r="744">
      <c r="C744" s="69"/>
    </row>
    <row r="745">
      <c r="C745" s="69"/>
    </row>
    <row r="746">
      <c r="C746" s="69"/>
    </row>
    <row r="747">
      <c r="C747" s="69"/>
    </row>
    <row r="748">
      <c r="C748" s="69"/>
    </row>
    <row r="749">
      <c r="C749" s="69"/>
    </row>
    <row r="750">
      <c r="C750" s="69"/>
    </row>
    <row r="751">
      <c r="C751" s="69"/>
    </row>
    <row r="752">
      <c r="C752" s="69"/>
    </row>
    <row r="753">
      <c r="C753" s="69"/>
    </row>
    <row r="754">
      <c r="C754" s="69"/>
    </row>
    <row r="755">
      <c r="C755" s="69"/>
    </row>
    <row r="756">
      <c r="C756" s="69"/>
    </row>
    <row r="757">
      <c r="C757" s="69"/>
    </row>
    <row r="758">
      <c r="C758" s="69"/>
    </row>
    <row r="759">
      <c r="C759" s="69"/>
    </row>
    <row r="760">
      <c r="C760" s="69"/>
    </row>
    <row r="761">
      <c r="C761" s="69"/>
    </row>
    <row r="762">
      <c r="C762" s="69"/>
    </row>
    <row r="763">
      <c r="C763" s="69"/>
    </row>
    <row r="764">
      <c r="C764" s="69"/>
    </row>
    <row r="765">
      <c r="C765" s="69"/>
    </row>
    <row r="766">
      <c r="C766" s="69"/>
    </row>
    <row r="767">
      <c r="C767" s="69"/>
    </row>
    <row r="768">
      <c r="C768" s="69"/>
    </row>
    <row r="769">
      <c r="C769" s="69"/>
    </row>
    <row r="770">
      <c r="C770" s="69"/>
    </row>
    <row r="771">
      <c r="C771" s="69"/>
    </row>
    <row r="772">
      <c r="C772" s="69"/>
    </row>
    <row r="773">
      <c r="C773" s="69"/>
    </row>
    <row r="774">
      <c r="C774" s="69"/>
    </row>
    <row r="775">
      <c r="C775" s="69"/>
    </row>
    <row r="776">
      <c r="C776" s="69"/>
    </row>
    <row r="777">
      <c r="C777" s="69"/>
    </row>
    <row r="778">
      <c r="C778" s="69"/>
    </row>
    <row r="779">
      <c r="C779" s="69"/>
    </row>
    <row r="780">
      <c r="C780" s="69"/>
    </row>
    <row r="781">
      <c r="C781" s="69"/>
    </row>
    <row r="782">
      <c r="C782" s="69"/>
    </row>
    <row r="783">
      <c r="C783" s="69"/>
    </row>
    <row r="784">
      <c r="C784" s="69"/>
    </row>
    <row r="785">
      <c r="C785" s="69"/>
    </row>
    <row r="786">
      <c r="C786" s="69"/>
    </row>
    <row r="787">
      <c r="C787" s="69"/>
    </row>
    <row r="788">
      <c r="C788" s="69"/>
    </row>
    <row r="789">
      <c r="C789" s="69"/>
    </row>
    <row r="790">
      <c r="C790" s="69"/>
    </row>
    <row r="791">
      <c r="C791" s="69"/>
    </row>
    <row r="792">
      <c r="C792" s="69"/>
    </row>
    <row r="793">
      <c r="C793" s="69"/>
    </row>
    <row r="794">
      <c r="C794" s="69"/>
    </row>
    <row r="795">
      <c r="C795" s="69"/>
    </row>
    <row r="796">
      <c r="C796" s="69"/>
    </row>
    <row r="797">
      <c r="C797" s="69"/>
    </row>
    <row r="798">
      <c r="C798" s="69"/>
    </row>
    <row r="799">
      <c r="C799" s="69"/>
    </row>
    <row r="800">
      <c r="C800" s="69"/>
    </row>
    <row r="801">
      <c r="C801" s="69"/>
    </row>
    <row r="802">
      <c r="C802" s="69"/>
    </row>
    <row r="803">
      <c r="C803" s="69"/>
    </row>
    <row r="804">
      <c r="C804" s="69"/>
    </row>
    <row r="805">
      <c r="C805" s="69"/>
    </row>
    <row r="806">
      <c r="C806" s="69"/>
    </row>
    <row r="807">
      <c r="C807" s="69"/>
    </row>
    <row r="808">
      <c r="C808" s="69"/>
    </row>
    <row r="809">
      <c r="C809" s="69"/>
    </row>
    <row r="810">
      <c r="C810" s="69"/>
    </row>
    <row r="811">
      <c r="C811" s="69"/>
    </row>
    <row r="812">
      <c r="C812" s="69"/>
    </row>
    <row r="813">
      <c r="C813" s="69"/>
    </row>
    <row r="814">
      <c r="C814" s="69"/>
    </row>
    <row r="815">
      <c r="C815" s="69"/>
    </row>
    <row r="816">
      <c r="C816" s="69"/>
    </row>
    <row r="817">
      <c r="C817" s="69"/>
    </row>
    <row r="818">
      <c r="C818" s="69"/>
    </row>
    <row r="819">
      <c r="C819" s="69"/>
    </row>
    <row r="820">
      <c r="C820" s="69"/>
    </row>
    <row r="821">
      <c r="C821" s="69"/>
    </row>
    <row r="822">
      <c r="C822" s="69"/>
    </row>
    <row r="823">
      <c r="C823" s="69"/>
    </row>
    <row r="824">
      <c r="C824" s="69"/>
    </row>
    <row r="825">
      <c r="C825" s="69"/>
    </row>
    <row r="826">
      <c r="C826" s="69"/>
    </row>
    <row r="827">
      <c r="C827" s="69"/>
    </row>
    <row r="828">
      <c r="C828" s="69"/>
    </row>
    <row r="829">
      <c r="C829" s="69"/>
    </row>
    <row r="830">
      <c r="C830" s="69"/>
    </row>
    <row r="831">
      <c r="C831" s="69"/>
    </row>
    <row r="832">
      <c r="C832" s="69"/>
    </row>
    <row r="833">
      <c r="C833" s="69"/>
    </row>
    <row r="834">
      <c r="C834" s="69"/>
    </row>
    <row r="835">
      <c r="C835" s="69"/>
    </row>
    <row r="836">
      <c r="C836" s="69"/>
    </row>
    <row r="837">
      <c r="C837" s="69"/>
    </row>
    <row r="838">
      <c r="C838" s="69"/>
    </row>
    <row r="839">
      <c r="C839" s="69"/>
    </row>
    <row r="840">
      <c r="C840" s="69"/>
    </row>
    <row r="841">
      <c r="C841" s="69"/>
    </row>
    <row r="842">
      <c r="C842" s="69"/>
    </row>
    <row r="843">
      <c r="C843" s="69"/>
    </row>
    <row r="844">
      <c r="C844" s="69"/>
    </row>
    <row r="845">
      <c r="C845" s="69"/>
    </row>
    <row r="846">
      <c r="C846" s="69"/>
    </row>
    <row r="847">
      <c r="C847" s="69"/>
    </row>
    <row r="848">
      <c r="C848" s="69"/>
    </row>
    <row r="849">
      <c r="C849" s="69"/>
    </row>
    <row r="850">
      <c r="C850" s="69"/>
    </row>
    <row r="851">
      <c r="C851" s="69"/>
    </row>
    <row r="852">
      <c r="C852" s="69"/>
    </row>
    <row r="853">
      <c r="C853" s="69"/>
    </row>
    <row r="854">
      <c r="C854" s="69"/>
    </row>
    <row r="855">
      <c r="C855" s="69"/>
    </row>
    <row r="856">
      <c r="C856" s="69"/>
    </row>
    <row r="857">
      <c r="C857" s="69"/>
    </row>
    <row r="858">
      <c r="C858" s="69"/>
    </row>
    <row r="859">
      <c r="C859" s="69"/>
    </row>
    <row r="860">
      <c r="C860" s="69"/>
    </row>
    <row r="861">
      <c r="C861" s="69"/>
    </row>
    <row r="862">
      <c r="C862" s="69"/>
    </row>
    <row r="863">
      <c r="C863" s="69"/>
    </row>
    <row r="864">
      <c r="C864" s="69"/>
    </row>
    <row r="865">
      <c r="C865" s="69"/>
    </row>
    <row r="866">
      <c r="C866" s="69"/>
    </row>
    <row r="867">
      <c r="C867" s="69"/>
    </row>
    <row r="868">
      <c r="C868" s="69"/>
    </row>
    <row r="869">
      <c r="C869" s="69"/>
    </row>
    <row r="870">
      <c r="C870" s="69"/>
    </row>
    <row r="871">
      <c r="C871" s="69"/>
    </row>
    <row r="872">
      <c r="C872" s="69"/>
    </row>
    <row r="873">
      <c r="C873" s="69"/>
    </row>
    <row r="874">
      <c r="C874" s="69"/>
    </row>
    <row r="875">
      <c r="C875" s="69"/>
    </row>
    <row r="876">
      <c r="C876" s="69"/>
    </row>
    <row r="877">
      <c r="C877" s="69"/>
    </row>
    <row r="878">
      <c r="C878" s="69"/>
    </row>
    <row r="879">
      <c r="C879" s="69"/>
    </row>
    <row r="880">
      <c r="C880" s="69"/>
    </row>
    <row r="881">
      <c r="C881" s="69"/>
    </row>
    <row r="882">
      <c r="C882" s="69"/>
    </row>
    <row r="883">
      <c r="C883" s="69"/>
    </row>
    <row r="884">
      <c r="C884" s="69"/>
    </row>
    <row r="885">
      <c r="C885" s="69"/>
    </row>
    <row r="886">
      <c r="C886" s="69"/>
    </row>
    <row r="887">
      <c r="C887" s="69"/>
    </row>
    <row r="888">
      <c r="C888" s="69"/>
    </row>
    <row r="889">
      <c r="C889" s="69"/>
    </row>
    <row r="890">
      <c r="C890" s="69"/>
    </row>
    <row r="891">
      <c r="C891" s="69"/>
    </row>
    <row r="892">
      <c r="C892" s="69"/>
    </row>
    <row r="893">
      <c r="C893" s="69"/>
    </row>
    <row r="894">
      <c r="C894" s="69"/>
    </row>
    <row r="895">
      <c r="C895" s="69"/>
    </row>
    <row r="896">
      <c r="C896" s="69"/>
    </row>
    <row r="897">
      <c r="C897" s="69"/>
    </row>
    <row r="898">
      <c r="C898" s="69"/>
    </row>
    <row r="899">
      <c r="C899" s="69"/>
    </row>
    <row r="900">
      <c r="C900" s="69"/>
    </row>
    <row r="901">
      <c r="C901" s="69"/>
    </row>
    <row r="902">
      <c r="C902" s="69"/>
    </row>
    <row r="903">
      <c r="C903" s="69"/>
    </row>
    <row r="904">
      <c r="C904" s="69"/>
    </row>
    <row r="905">
      <c r="C905" s="69"/>
    </row>
    <row r="906">
      <c r="C906" s="69"/>
    </row>
    <row r="907">
      <c r="C907" s="69"/>
    </row>
    <row r="908">
      <c r="C908" s="69"/>
    </row>
    <row r="909">
      <c r="C909" s="69"/>
    </row>
    <row r="910">
      <c r="C910" s="69"/>
    </row>
    <row r="911">
      <c r="C911" s="69"/>
    </row>
    <row r="912">
      <c r="C912" s="69"/>
    </row>
    <row r="913">
      <c r="C913" s="69"/>
    </row>
    <row r="914">
      <c r="C914" s="69"/>
    </row>
    <row r="915">
      <c r="C915" s="69"/>
    </row>
    <row r="916">
      <c r="C916" s="69"/>
    </row>
    <row r="917">
      <c r="C917" s="69"/>
    </row>
    <row r="918">
      <c r="C918" s="69"/>
    </row>
    <row r="919">
      <c r="C919" s="69"/>
    </row>
    <row r="920">
      <c r="C920" s="69"/>
    </row>
    <row r="921">
      <c r="C921" s="69"/>
    </row>
    <row r="922">
      <c r="C922" s="69"/>
    </row>
    <row r="923">
      <c r="C923" s="69"/>
    </row>
    <row r="924">
      <c r="C924" s="69"/>
    </row>
    <row r="925">
      <c r="C925" s="69"/>
    </row>
    <row r="926">
      <c r="C926" s="69"/>
    </row>
    <row r="927">
      <c r="C927" s="69"/>
    </row>
    <row r="928">
      <c r="C928" s="69"/>
    </row>
    <row r="929">
      <c r="C929" s="69"/>
    </row>
    <row r="930">
      <c r="C930" s="69"/>
    </row>
    <row r="931">
      <c r="C931" s="69"/>
    </row>
    <row r="932">
      <c r="C932" s="69"/>
    </row>
    <row r="933">
      <c r="C933" s="69"/>
    </row>
    <row r="934">
      <c r="C934" s="69"/>
    </row>
    <row r="935">
      <c r="C935" s="69"/>
    </row>
    <row r="936">
      <c r="C936" s="69"/>
    </row>
    <row r="937">
      <c r="C937" s="69"/>
    </row>
    <row r="938">
      <c r="C938" s="69"/>
    </row>
    <row r="939">
      <c r="C939" s="69"/>
    </row>
    <row r="940">
      <c r="C940" s="69"/>
    </row>
    <row r="941">
      <c r="C941" s="69"/>
    </row>
    <row r="942">
      <c r="C942" s="69"/>
    </row>
    <row r="943">
      <c r="C943" s="69"/>
    </row>
    <row r="944">
      <c r="C944" s="69"/>
    </row>
    <row r="945">
      <c r="C945" s="69"/>
    </row>
    <row r="946">
      <c r="C946" s="69"/>
    </row>
    <row r="947">
      <c r="C947" s="69"/>
    </row>
    <row r="948">
      <c r="C948" s="69"/>
    </row>
    <row r="949">
      <c r="C949" s="69"/>
    </row>
    <row r="950">
      <c r="C950" s="69"/>
    </row>
    <row r="951">
      <c r="C951" s="69"/>
    </row>
    <row r="952">
      <c r="C952" s="69"/>
    </row>
    <row r="953">
      <c r="C953" s="69"/>
    </row>
    <row r="954">
      <c r="C954" s="69"/>
    </row>
    <row r="955">
      <c r="C955" s="69"/>
    </row>
    <row r="956">
      <c r="C956" s="69"/>
    </row>
    <row r="957">
      <c r="C957" s="69"/>
    </row>
    <row r="958">
      <c r="C958" s="69"/>
    </row>
    <row r="959">
      <c r="C959" s="69"/>
    </row>
    <row r="960">
      <c r="C960" s="69"/>
    </row>
    <row r="961">
      <c r="C961" s="69"/>
    </row>
    <row r="962">
      <c r="C962" s="69"/>
    </row>
    <row r="963">
      <c r="C963" s="69"/>
    </row>
    <row r="964">
      <c r="C964" s="69"/>
    </row>
    <row r="965">
      <c r="C965" s="69"/>
    </row>
    <row r="966">
      <c r="C966" s="69"/>
    </row>
    <row r="967">
      <c r="C967" s="69"/>
    </row>
    <row r="968">
      <c r="C968" s="69"/>
    </row>
    <row r="969">
      <c r="C969" s="69"/>
    </row>
    <row r="970">
      <c r="C970" s="69"/>
    </row>
    <row r="971">
      <c r="C971" s="69"/>
    </row>
    <row r="972">
      <c r="C972" s="69"/>
    </row>
    <row r="973">
      <c r="C973" s="69"/>
    </row>
    <row r="974">
      <c r="C974" s="69"/>
    </row>
    <row r="975">
      <c r="C975" s="69"/>
    </row>
    <row r="976">
      <c r="C976" s="69"/>
    </row>
    <row r="977">
      <c r="C977" s="69"/>
    </row>
    <row r="978">
      <c r="C978" s="69"/>
    </row>
    <row r="979">
      <c r="C979" s="69"/>
    </row>
    <row r="980">
      <c r="C980" s="69"/>
    </row>
    <row r="981">
      <c r="C981" s="69"/>
    </row>
    <row r="982">
      <c r="C982" s="69"/>
    </row>
    <row r="983">
      <c r="C983" s="69"/>
    </row>
    <row r="984">
      <c r="C984" s="69"/>
    </row>
    <row r="985">
      <c r="C985" s="69"/>
    </row>
    <row r="986">
      <c r="C986" s="69"/>
    </row>
  </sheetData>
  <dataValidations>
    <dataValidation type="list" allowBlank="1" showErrorMessage="1" sqref="B2:B18">
      <formula1>"Ashfatul,Shariful,Mostakim,Fahim,Sadman,Hamim"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0.88"/>
    <col customWidth="1" min="3" max="3" width="44.38"/>
    <col customWidth="1" min="6" max="6" width="25.88"/>
  </cols>
  <sheetData>
    <row r="1">
      <c r="A1" s="54" t="s">
        <v>17</v>
      </c>
      <c r="B1" s="55" t="s">
        <v>0</v>
      </c>
      <c r="C1" s="64" t="s">
        <v>47</v>
      </c>
      <c r="D1" s="55" t="s">
        <v>33</v>
      </c>
      <c r="F1" s="49"/>
      <c r="G1" s="70"/>
    </row>
    <row r="2">
      <c r="A2" s="65">
        <v>46147.0</v>
      </c>
      <c r="B2" s="57" t="s">
        <v>11</v>
      </c>
      <c r="C2" s="66" t="s">
        <v>46</v>
      </c>
      <c r="D2" s="57">
        <v>1050.0</v>
      </c>
    </row>
    <row r="3">
      <c r="A3" s="65">
        <v>46148.0</v>
      </c>
      <c r="B3" s="57" t="s">
        <v>12</v>
      </c>
      <c r="C3" s="66" t="s">
        <v>46</v>
      </c>
      <c r="D3" s="57">
        <v>1000.0</v>
      </c>
    </row>
    <row r="4">
      <c r="A4" s="65">
        <v>46149.0</v>
      </c>
      <c r="B4" s="57" t="s">
        <v>9</v>
      </c>
      <c r="C4" s="66" t="s">
        <v>55</v>
      </c>
      <c r="D4" s="57">
        <v>420.0</v>
      </c>
    </row>
    <row r="5">
      <c r="A5" s="65">
        <v>46150.0</v>
      </c>
      <c r="B5" s="57"/>
      <c r="C5" s="66"/>
      <c r="D5" s="57"/>
    </row>
    <row r="6">
      <c r="A6" s="65">
        <v>46151.0</v>
      </c>
      <c r="B6" s="57"/>
      <c r="C6" s="66"/>
      <c r="D6" s="57"/>
      <c r="F6" s="49" t="s">
        <v>38</v>
      </c>
      <c r="G6" s="45"/>
    </row>
    <row r="7">
      <c r="A7" s="65">
        <v>46152.0</v>
      </c>
      <c r="B7" s="57"/>
      <c r="C7" s="66"/>
      <c r="D7" s="57"/>
      <c r="F7" s="49" t="s">
        <v>10</v>
      </c>
      <c r="G7" s="45">
        <f>SUMIF(B2:B18, "Ashfatul", D2:D18)</f>
        <v>0</v>
      </c>
    </row>
    <row r="8">
      <c r="A8" s="65">
        <v>46153.0</v>
      </c>
      <c r="B8" s="57"/>
      <c r="C8" s="66"/>
      <c r="D8" s="57"/>
      <c r="F8" s="49" t="s">
        <v>9</v>
      </c>
      <c r="G8" s="45">
        <f>SUMIF(B2:B18, "Shariful", D2:D18)</f>
        <v>420</v>
      </c>
    </row>
    <row r="9">
      <c r="A9" s="65">
        <v>46154.0</v>
      </c>
      <c r="B9" s="57"/>
      <c r="C9" s="66"/>
      <c r="D9" s="57"/>
      <c r="F9" s="49" t="s">
        <v>11</v>
      </c>
      <c r="G9" s="45">
        <f>SUMIF(B2:B18, "Mostakim", D2:D18)</f>
        <v>1050</v>
      </c>
    </row>
    <row r="10">
      <c r="A10" s="65">
        <v>46155.0</v>
      </c>
      <c r="B10" s="57"/>
      <c r="C10" s="66"/>
      <c r="D10" s="57"/>
      <c r="F10" s="49" t="s">
        <v>12</v>
      </c>
      <c r="G10" s="45">
        <f>SUMIF(B2:B18, "Fahim", D2:D18)</f>
        <v>1000</v>
      </c>
    </row>
    <row r="11">
      <c r="A11" s="65">
        <v>46156.0</v>
      </c>
      <c r="B11" s="57"/>
      <c r="C11" s="66"/>
      <c r="D11" s="57"/>
      <c r="F11" s="49" t="s">
        <v>13</v>
      </c>
      <c r="G11" s="45">
        <f>SUMIF(B2:B18, "Sadman", D2:D18)</f>
        <v>0</v>
      </c>
    </row>
    <row r="12">
      <c r="A12" s="65">
        <v>46157.0</v>
      </c>
      <c r="B12" s="57"/>
      <c r="C12" s="66"/>
      <c r="D12" s="57"/>
      <c r="F12" s="49" t="s">
        <v>14</v>
      </c>
      <c r="G12" s="45">
        <f>SUMIF(B2:B18, "Hamim", D2:D18)</f>
        <v>0</v>
      </c>
    </row>
    <row r="13">
      <c r="A13" s="65">
        <v>46158.0</v>
      </c>
      <c r="B13" s="57"/>
      <c r="C13" s="66"/>
      <c r="D13" s="57"/>
      <c r="F13" s="71"/>
      <c r="G13" s="71"/>
    </row>
    <row r="14">
      <c r="A14" s="65">
        <v>46159.0</v>
      </c>
      <c r="B14" s="57"/>
      <c r="C14" s="66"/>
      <c r="D14" s="57"/>
    </row>
    <row r="15">
      <c r="A15" s="65">
        <v>46160.0</v>
      </c>
      <c r="B15" s="57"/>
      <c r="C15" s="66"/>
      <c r="D15" s="57"/>
    </row>
    <row r="16">
      <c r="A16" s="65">
        <v>46161.0</v>
      </c>
      <c r="B16" s="57"/>
      <c r="C16" s="66"/>
      <c r="D16" s="57"/>
    </row>
    <row r="17">
      <c r="A17" s="65">
        <v>46162.0</v>
      </c>
      <c r="B17" s="57"/>
      <c r="C17" s="66"/>
      <c r="D17" s="57"/>
    </row>
    <row r="18">
      <c r="A18" s="65">
        <v>46163.0</v>
      </c>
      <c r="B18" s="57"/>
      <c r="C18" s="66"/>
      <c r="D18" s="57"/>
    </row>
    <row r="19">
      <c r="A19" s="60"/>
      <c r="B19" s="59"/>
      <c r="C19" s="68"/>
      <c r="D19" s="53">
        <f>SUM(D2:D18)</f>
        <v>2470</v>
      </c>
    </row>
    <row r="23">
      <c r="C23" s="72"/>
    </row>
  </sheetData>
  <mergeCells count="1">
    <mergeCell ref="C23:K23"/>
  </mergeCells>
  <dataValidations>
    <dataValidation type="list" allowBlank="1" showErrorMessage="1" sqref="B2:B18">
      <formula1>"Ashfatul,Shariful,Mostakim,Fahim,Sadman,Hamim"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6.5"/>
  </cols>
  <sheetData>
    <row r="1">
      <c r="A1" s="73" t="s">
        <v>56</v>
      </c>
    </row>
    <row r="2">
      <c r="A2" s="73" t="s">
        <v>57</v>
      </c>
    </row>
    <row r="3">
      <c r="A3" s="73" t="s">
        <v>58</v>
      </c>
    </row>
    <row r="4">
      <c r="A4" s="73" t="s">
        <v>59</v>
      </c>
    </row>
    <row r="5">
      <c r="A5" s="73" t="s">
        <v>60</v>
      </c>
    </row>
    <row r="6">
      <c r="A6" s="73" t="s">
        <v>61</v>
      </c>
    </row>
    <row r="7">
      <c r="A7" s="73" t="s">
        <v>62</v>
      </c>
    </row>
    <row r="8">
      <c r="A8" s="73" t="s">
        <v>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13.75"/>
  </cols>
  <sheetData>
    <row r="1">
      <c r="A1" s="74" t="s">
        <v>19</v>
      </c>
    </row>
    <row r="3">
      <c r="B3" s="75" t="s">
        <v>64</v>
      </c>
      <c r="C3" s="76"/>
    </row>
    <row r="4">
      <c r="B4" s="49" t="s">
        <v>28</v>
      </c>
      <c r="C4" s="76">
        <f>Deposit!L33</f>
        <v>11190</v>
      </c>
    </row>
    <row r="5">
      <c r="B5" s="49" t="s">
        <v>3</v>
      </c>
      <c r="C5" s="76">
        <f>'Meal Costing'!D34</f>
        <v>6578</v>
      </c>
    </row>
    <row r="6">
      <c r="B6" s="49" t="s">
        <v>29</v>
      </c>
      <c r="C6" s="76">
        <f>'Others Costing'!D33</f>
        <v>0</v>
      </c>
    </row>
    <row r="7">
      <c r="C7" s="76"/>
    </row>
    <row r="8">
      <c r="B8" s="45"/>
      <c r="C8" s="76"/>
    </row>
    <row r="9">
      <c r="B9" s="49" t="s">
        <v>65</v>
      </c>
      <c r="C9" s="76">
        <f>sum(C4-C5-C6)</f>
        <v>4612</v>
      </c>
    </row>
  </sheetData>
  <conditionalFormatting sqref="C9">
    <cfRule type="cellIs" dxfId="3" priority="1" operator="lessThan">
      <formula>0</formula>
    </cfRule>
  </conditionalFormatting>
  <conditionalFormatting sqref="C9">
    <cfRule type="cellIs" dxfId="5" priority="2" operator="greaterThan">
      <formula>0</formula>
    </cfRule>
  </conditionalFormatting>
  <drawing r:id="rId1"/>
</worksheet>
</file>